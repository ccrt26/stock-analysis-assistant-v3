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1dee45a8454d0a" /></Relationships>
</file>

<file path=xl/workbook.xml><?xml version="1.0" encoding="utf-8"?>
<x:workbook xmlns:x="http://schemas.openxmlformats.org/spreadsheetml/2006/main">
  <x:sheets>
    <x:sheet xmlns:r="http://schemas.openxmlformats.org/officeDocument/2006/relationships" name="总览" sheetId="1" r:id="R04f9c02c06574dfb"/>
    <x:sheet xmlns:r="http://schemas.openxmlformats.org/officeDocument/2006/relationships" name="正式入选" sheetId="2" r:id="Rc17098ad71a6497b"/>
    <x:sheet xmlns:r="http://schemas.openxmlformats.org/officeDocument/2006/relationships" name="复盘合同" sheetId="3" r:id="R892ad1d156904189"/>
    <x:sheet xmlns:r="http://schemas.openxmlformats.org/officeDocument/2006/relationships" name="决策证据" sheetId="4" r:id="R76324373cd2a4048"/>
    <x:sheet xmlns:r="http://schemas.openxmlformats.org/officeDocument/2006/relationships" name="候选账" sheetId="5" r:id="Re307ca96d94344bd"/>
    <x:sheet xmlns:r="http://schemas.openxmlformats.org/officeDocument/2006/relationships" name="逐日路径" sheetId="6" r:id="R709769d2cf5748df"/>
    <x:sheet xmlns:r="http://schemas.openxmlformats.org/officeDocument/2006/relationships" name="跟踪复盘" sheetId="7" r:id="Rc8b7a15451aa4f61"/>
    <x:sheet xmlns:r="http://schemas.openxmlformats.org/officeDocument/2006/relationships" name="市场环境" sheetId="8" r:id="Re7d07564f79843ae"/>
    <x:sheet xmlns:r="http://schemas.openxmlformats.org/officeDocument/2006/relationships" name="板块上下文" sheetId="9" r:id="R0ad88499218447ae"/>
    <x:sheet xmlns:r="http://schemas.openxmlformats.org/officeDocument/2006/relationships" name="形成日价量" sheetId="10" r:id="Ra896c6a778f34e5a"/>
    <x:sheet xmlns:r="http://schemas.openxmlformats.org/officeDocument/2006/relationships" name="数据清单" sheetId="11" r:id="R81a251c467754786"/>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yyyy-mm-dd"/>
    <x:numFmt numFmtId="201" formatCode="yyyy-mm-dd hh:mm:ss"/>
    <x:numFmt numFmtId="202" formatCode="0"/>
    <x:numFmt numFmtId="203" formatCode="0.00%"/>
    <x:numFmt numFmtId="204" formatCode="0.00"/>
    <x:numFmt numFmtId="205" formatCode="#,##0"/>
    <x:numFmt numFmtId="206" formatCode="0.00x"/>
    <x:numFmt numFmtId="207" formatCode="0.0000%"/>
    <x:numFmt numFmtId="208" formatCode="0.000"/>
  </x:numFmts>
  <x:fonts count="8">
    <x:font>
      <x:sz val="11"/>
      <x:name val="Carlito"/>
    </x:font>
    <x:font>
      <x:sz val="9"/>
      <x:color rgb="FF17313A"/>
      <x:name val="Aptos"/>
    </x:font>
    <x:font>
      <x:b/>
      <x:sz val="9"/>
      <x:color rgb="FFFFFFFF"/>
      <x:name val="Aptos"/>
    </x:font>
    <x:font>
      <x:b/>
      <x:sz val="22"/>
      <x:color rgb="FFFFFFFF"/>
      <x:name val="Aptos Display"/>
    </x:font>
    <x:font>
      <x:b/>
      <x:sz val="10"/>
      <x:color rgb="FF0F6B67"/>
      <x:name val="Aptos"/>
    </x:font>
    <x:font>
      <x:b/>
      <x:sz val="20"/>
      <x:color rgb="FF123B4A"/>
      <x:name val="Aptos Display"/>
    </x:font>
    <x:font>
      <x:b/>
      <x:sz val="11"/>
      <x:color rgb="FFFFFFFF"/>
      <x:name val="Aptos"/>
    </x:font>
    <x:font>
      <x:sz val="10"/>
      <x:color rgb="FF17313A"/>
      <x:name val="Aptos"/>
    </x:font>
  </x:fonts>
  <x:fills count="8">
    <x:fill>
      <x:patternFill patternType="none"/>
    </x:fill>
    <x:fill>
      <x:patternFill patternType="gray125"/>
    </x:fill>
    <x:fill>
      <x:patternFill patternType="solid">
        <x:fgColor rgb="FF123B4A"/>
      </x:patternFill>
    </x:fill>
    <x:fill>
      <x:patternFill patternType="solid">
        <x:fgColor rgb="FFFFFFFF"/>
      </x:patternFill>
    </x:fill>
    <x:fill>
      <x:patternFill patternType="solid">
        <x:fgColor rgb="FFF4F8F7"/>
      </x:patternFill>
    </x:fill>
    <x:fill>
      <x:patternFill patternType="solid">
        <x:fgColor rgb="FFDCEFEA"/>
      </x:patternFill>
    </x:fill>
    <x:fill>
      <x:patternFill patternType="solid">
        <x:fgColor rgb="FF0F6B67"/>
      </x:patternFill>
    </x:fill>
    <x:fill>
      <x:patternFill patternType="solid">
        <x:fgColor rgb="FFC58B22"/>
      </x:patternFill>
    </x:fill>
  </x:fills>
  <x:borders count="12">
    <x:border/>
    <x:border>
      <x:left style="thin">
        <x:color rgb="FFC9D8D6"/>
      </x:left>
      <x:right style="thin">
        <x:color rgb="FFC9D8D6"/>
      </x:right>
      <x:top style="thin">
        <x:color rgb="FFC9D8D6"/>
      </x:top>
      <x:bottom style="thin">
        <x:color rgb="FFC9D8D6"/>
      </x:bottom>
    </x:border>
    <x:border>
      <x:left style="medium">
        <x:color rgb="FF0F6B67"/>
      </x:left>
      <x:top style="medium">
        <x:color rgb="FF0F6B67"/>
      </x:top>
      <x:bottom style="medium">
        <x:color rgb="FF0F6B67"/>
      </x:bottom>
    </x:border>
    <x:border>
      <x:right style="medium">
        <x:color rgb="FF0F6B67"/>
      </x:right>
      <x:top style="medium">
        <x:color rgb="FF0F6B67"/>
      </x:top>
      <x:bottom style="medium">
        <x:color rgb="FF0F6B67"/>
      </x:bottom>
    </x:border>
    <x:border>
      <x:left style="thin">
        <x:color rgb="FFC9D8D6"/>
      </x:left>
      <x:top style="thin">
        <x:color rgb="FFC9D8D6"/>
      </x:top>
    </x:border>
    <x:border>
      <x:top style="thin">
        <x:color rgb="FFC9D8D6"/>
      </x:top>
    </x:border>
    <x:border>
      <x:right style="thin">
        <x:color rgb="FFC9D8D6"/>
      </x:right>
      <x:top style="thin">
        <x:color rgb="FFC9D8D6"/>
      </x:top>
    </x:border>
    <x:border>
      <x:left style="thin">
        <x:color rgb="FFC9D8D6"/>
      </x:left>
    </x:border>
    <x:border>
      <x:right style="thin">
        <x:color rgb="FFC9D8D6"/>
      </x:right>
    </x:border>
    <x:border>
      <x:left style="thin">
        <x:color rgb="FFC9D8D6"/>
      </x:left>
      <x:bottom style="thin">
        <x:color rgb="FFC9D8D6"/>
      </x:bottom>
    </x:border>
    <x:border>
      <x:bottom style="thin">
        <x:color rgb="FFC9D8D6"/>
      </x:bottom>
    </x:border>
    <x:border>
      <x:right style="thin">
        <x:color rgb="FFC9D8D6"/>
      </x:right>
      <x:bottom style="thin">
        <x:color rgb="FFC9D8D6"/>
      </x:bottom>
    </x:border>
  </x:borders>
  <x:cellStyleXfs count="1">
    <x:xf numFmtId="0" fontId="0" fillId="0" borderId="0"/>
  </x:cellStyleXfs>
  <x:cellXfs count="10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1" xfId="0" applyNumberFormat="1" applyFont="1" applyFill="1" applyBorder="1" applyAlignment="1">
      <x:alignment vertical="center"/>
    </x:xf>
    <x:xf numFmtId="0" fontId="1" fillId="4"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2" fillId="2" borderId="1" xfId="0" applyNumberFormat="1" applyFont="1" applyFill="1" applyBorder="1" applyAlignment="1">
      <x:alignment horizontal="center" vertical="center" wrapText="1"/>
    </x:xf>
    <x:xf numFmtId="200" fontId="1" fillId="3" borderId="1" xfId="0" applyNumberFormat="1" applyFont="1" applyFill="1" applyBorder="1" applyAlignment="1">
      <x:alignment vertical="center"/>
    </x:xf>
    <x:xf numFmtId="200" fontId="1" fillId="4" borderId="1" xfId="0" applyNumberFormat="1" applyFont="1" applyFill="1" applyBorder="1" applyAlignment="1">
      <x:alignment vertical="center"/>
    </x:xf>
    <x:xf numFmtId="201" fontId="2" fillId="2" borderId="1" xfId="0" applyNumberFormat="1" applyFont="1" applyFill="1" applyBorder="1" applyAlignment="1">
      <x:alignment horizontal="center" vertical="center" wrapText="1"/>
    </x:xf>
    <x:xf numFmtId="201" fontId="1" fillId="3" borderId="1" xfId="0" applyNumberFormat="1" applyFont="1" applyFill="1" applyBorder="1" applyAlignment="1">
      <x:alignment vertical="center"/>
    </x:xf>
    <x:xf numFmtId="201" fontId="1" fillId="4" borderId="1" xfId="0" applyNumberFormat="1" applyFont="1" applyFill="1" applyBorder="1" applyAlignment="1">
      <x:alignment vertical="center"/>
    </x:xf>
    <x:xf numFmtId="202" fontId="2" fillId="2" borderId="1" xfId="0" applyNumberFormat="1" applyFont="1" applyFill="1" applyBorder="1" applyAlignment="1">
      <x:alignment horizontal="center" vertical="center" wrapText="1"/>
    </x:xf>
    <x:xf numFmtId="202" fontId="1" fillId="3" borderId="1" xfId="0" applyNumberFormat="1" applyFont="1" applyFill="1" applyBorder="1" applyAlignment="1">
      <x:alignment vertical="center"/>
    </x:xf>
    <x:xf numFmtId="202" fontId="1" fillId="4" borderId="1" xfId="0" applyNumberFormat="1" applyFont="1" applyFill="1" applyBorder="1" applyAlignment="1">
      <x:alignment vertical="center"/>
    </x:xf>
    <x:xf numFmtId="0" fontId="1" fillId="3" borderId="1"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203" fontId="2" fillId="2" borderId="1" xfId="0" applyNumberFormat="1" applyFont="1" applyFill="1" applyBorder="1" applyAlignment="1">
      <x:alignment horizontal="center" vertical="center" wrapText="1"/>
    </x:xf>
    <x:xf numFmtId="203" fontId="1" fillId="3" borderId="1" xfId="0" applyNumberFormat="1" applyFont="1" applyFill="1" applyBorder="1" applyAlignment="1">
      <x:alignment vertical="center"/>
    </x:xf>
    <x:xf numFmtId="203" fontId="1" fillId="4" borderId="1" xfId="0" applyNumberFormat="1" applyFont="1" applyFill="1" applyBorder="1" applyAlignment="1">
      <x:alignment vertical="center"/>
    </x:xf>
    <x:xf numFmtId="204" fontId="2" fillId="2" borderId="1" xfId="0" applyNumberFormat="1" applyFont="1" applyFill="1" applyBorder="1" applyAlignment="1">
      <x:alignment horizontal="center" vertical="center" wrapText="1"/>
    </x:xf>
    <x:xf numFmtId="204" fontId="1" fillId="3" borderId="1" xfId="0" applyNumberFormat="1" applyFont="1" applyFill="1" applyBorder="1" applyAlignment="1">
      <x:alignment vertical="center"/>
    </x:xf>
    <x:xf numFmtId="204" fontId="1" fillId="4" borderId="1" xfId="0" applyNumberFormat="1" applyFont="1" applyFill="1" applyBorder="1" applyAlignment="1">
      <x:alignment vertical="center"/>
    </x:xf>
    <x:xf numFmtId="205" fontId="2" fillId="2" borderId="1" xfId="0" applyNumberFormat="1" applyFont="1" applyFill="1" applyBorder="1" applyAlignment="1">
      <x:alignment horizontal="center" vertical="center" wrapText="1"/>
    </x:xf>
    <x:xf numFmtId="205" fontId="1" fillId="3" borderId="1" xfId="0" applyNumberFormat="1" applyFont="1" applyFill="1" applyBorder="1" applyAlignment="1">
      <x:alignment vertical="center"/>
    </x:xf>
    <x:xf numFmtId="205" fontId="1" fillId="4" borderId="1" xfId="0" applyNumberFormat="1" applyFont="1" applyFill="1" applyBorder="1" applyAlignment="1">
      <x:alignment vertical="center"/>
    </x:xf>
    <x:xf numFmtId="206" fontId="2" fillId="2" borderId="1" xfId="0" applyNumberFormat="1" applyFont="1" applyFill="1" applyBorder="1" applyAlignment="1">
      <x:alignment horizontal="center" vertical="center" wrapText="1"/>
    </x:xf>
    <x:xf numFmtId="206" fontId="1" fillId="3" borderId="1" xfId="0" applyNumberFormat="1" applyFont="1" applyFill="1" applyBorder="1" applyAlignment="1">
      <x:alignment vertical="center"/>
    </x:xf>
    <x:xf numFmtId="206" fontId="1" fillId="4" borderId="1" xfId="0" applyNumberFormat="1" applyFont="1" applyFill="1" applyBorder="1" applyAlignment="1">
      <x:alignment vertical="center"/>
    </x:xf>
    <x:xf numFmtId="207" fontId="2" fillId="2" borderId="1" xfId="0" applyNumberFormat="1" applyFont="1" applyFill="1" applyBorder="1" applyAlignment="1">
      <x:alignment horizontal="center" vertical="center" wrapText="1"/>
    </x:xf>
    <x:xf numFmtId="207" fontId="1" fillId="3" borderId="1" xfId="0" applyNumberFormat="1" applyFont="1" applyFill="1" applyBorder="1" applyAlignment="1">
      <x:alignment vertical="center"/>
    </x:xf>
    <x:xf numFmtId="207" fontId="1" fillId="4" borderId="1" xfId="0" applyNumberFormat="1" applyFont="1" applyFill="1" applyBorder="1" applyAlignment="1">
      <x:alignment vertical="center"/>
    </x:xf>
    <x:xf numFmtId="208" fontId="2" fillId="2" borderId="1" xfId="0" applyNumberFormat="1" applyFont="1" applyFill="1" applyBorder="1" applyAlignment="1">
      <x:alignment horizontal="center" vertical="center" wrapText="1"/>
    </x:xf>
    <x:xf numFmtId="208" fontId="1" fillId="3" borderId="1" xfId="0" applyNumberFormat="1" applyFont="1" applyFill="1" applyBorder="1" applyAlignment="1">
      <x:alignment vertical="center"/>
    </x:xf>
    <x:xf numFmtId="208" fontId="1" fillId="4" borderId="1"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2" xfId="0" applyNumberFormat="1" applyFont="1" applyFill="1" applyBorder="1" applyAlignment="1">
      <x:alignment horizontal="center" vertical="center"/>
    </x:xf>
    <x:xf numFmtId="0" fontId="5" fillId="3" borderId="3"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4"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7" fillId="4" borderId="10" xfId="0" applyNumberFormat="1" applyFont="1" applyFill="1" applyBorder="1"/>
    <x:xf numFmtId="0" fontId="7" fillId="4" borderId="11" xfId="0" applyNumberFormat="1" applyFont="1" applyFill="1" applyBorder="1"/>
    <x:xf numFmtId="0" fontId="7" fillId="4" borderId="4" xfId="0" applyNumberFormat="1" applyFont="1" applyFill="1" applyBorder="1" applyAlignment="1">
      <x:alignment wrapText="1"/>
    </x:xf>
    <x:xf numFmtId="0" fontId="7" fillId="4" borderId="5" xfId="0" applyNumberFormat="1" applyFont="1" applyFill="1" applyBorder="1" applyAlignment="1">
      <x:alignment wrapText="1"/>
    </x:xf>
    <x:xf numFmtId="0" fontId="7" fillId="4" borderId="6" xfId="0" applyNumberFormat="1" applyFont="1" applyFill="1" applyBorder="1" applyAlignment="1">
      <x:alignment wrapText="1"/>
    </x:xf>
    <x:xf numFmtId="0" fontId="7" fillId="4" borderId="7"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8"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10" xfId="0" applyNumberFormat="1" applyFont="1" applyFill="1" applyBorder="1" applyAlignment="1">
      <x:alignment wrapText="1"/>
    </x:xf>
    <x:xf numFmtId="0" fontId="7" fillId="4" borderId="11" xfId="0" applyNumberFormat="1" applyFont="1" applyFill="1" applyBorder="1" applyAlignment="1">
      <x:alignment wrapText="1"/>
    </x:xf>
    <x:xf numFmtId="0" fontId="7" fillId="4"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4" borderId="7"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4" borderId="8" xfId="0" applyNumberFormat="1" applyFont="1" applyFill="1" applyBorder="1" applyAlignment="1">
      <x:alignment vertical="top" wrapText="1"/>
    </x:xf>
    <x:xf numFmtId="0" fontId="7" fillId="4" borderId="9" xfId="0" applyNumberFormat="1" applyFont="1" applyFill="1" applyBorder="1" applyAlignment="1">
      <x:alignment vertical="top" wrapText="1"/>
    </x:xf>
    <x:xf numFmtId="0" fontId="7" fillId="4" borderId="10" xfId="0" applyNumberFormat="1" applyFont="1" applyFill="1" applyBorder="1" applyAlignment="1">
      <x:alignment vertical="top" wrapText="1"/>
    </x:xf>
    <x:xf numFmtId="0" fontId="7" fillId="4" borderId="11" xfId="0" applyNumberFormat="1" applyFont="1" applyFill="1" applyBorder="1" applyAlignment="1">
      <x:alignment vertical="top" wrapText="1"/>
    </x:xf>
    <x:xf numFmtId="0" fontId="6" fillId="2" borderId="0" xfId="0" applyNumberFormat="1" applyFont="1" applyFill="1" applyBorder="1"/>
    <x:xf numFmtId="200" fontId="0" fillId="0" borderId="0" xfId="0" applyNumberFormat="1" applyFont="1" applyFill="1" applyBorder="1"/>
    <x:xf numFmtId="200" fontId="7" fillId="0" borderId="0" xfId="0" applyNumberFormat="1" applyFont="1" applyFill="1" applyBorder="1"/>
    <x:xf numFmtId="0" fontId="7" fillId="0" borderId="0" xfId="0" applyNumberFormat="1" applyFont="1" applyFill="1" applyBorder="1"/>
    <x:xf numFmtId="200" fontId="7" fillId="3" borderId="0" xfId="0" applyNumberFormat="1" applyFont="1" applyFill="1" applyBorder="1"/>
    <x:xf numFmtId="0" fontId="7" fillId="3" borderId="0" xfId="0" applyNumberFormat="1" applyFont="1" applyFill="1" applyBorder="1"/>
    <x:xf numFmtId="200" fontId="0" fillId="3" borderId="0" xfId="0" applyNumberFormat="1" applyFont="1" applyFill="1" applyBorder="1"/>
    <x:xf numFmtId="200" fontId="7" fillId="3" borderId="1" xfId="0" applyNumberFormat="1" applyFont="1" applyFill="1" applyBorder="1"/>
    <x:xf numFmtId="0" fontId="7" fillId="3" borderId="1" xfId="0" applyNumberFormat="1" applyFont="1" applyFill="1" applyBorder="1"/>
    <x:xf numFmtId="202" fontId="7"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5734ea1458418a" /><Relationship Type="http://schemas.openxmlformats.org/officeDocument/2006/relationships/theme" Target="/xl/theme/theme1.xml" Id="R0f91686ea5bd456b" /><Relationship Type="http://schemas.microsoft.com/office/2022/11/relationships/FeaturePropertyBag" Target="/xl/featurePropertyBag/featurePropertyBag.xml" Id="R17353887701d4aad" /><Relationship Type="http://schemas.openxmlformats.org/officeDocument/2006/relationships/sharedStrings" Target="/xl/sharedStrings.xml" Id="R27c3b10495fa470f" /><Relationship Type="http://schemas.openxmlformats.org/officeDocument/2006/relationships/worksheet" Target="/xl/worksheets/sheet1.xml" Id="R04f9c02c06574dfb" /><Relationship Type="http://schemas.openxmlformats.org/officeDocument/2006/relationships/worksheet" Target="/xl/worksheets/sheet2.xml" Id="Rc17098ad71a6497b" /><Relationship Type="http://schemas.openxmlformats.org/officeDocument/2006/relationships/worksheet" Target="/xl/worksheets/sheet3.xml" Id="R892ad1d156904189" /><Relationship Type="http://schemas.openxmlformats.org/officeDocument/2006/relationships/worksheet" Target="/xl/worksheets/sheet4.xml" Id="R76324373cd2a4048" /><Relationship Type="http://schemas.openxmlformats.org/officeDocument/2006/relationships/worksheet" Target="/xl/worksheets/sheet5.xml" Id="Re307ca96d94344bd" /><Relationship Type="http://schemas.openxmlformats.org/officeDocument/2006/relationships/worksheet" Target="/xl/worksheets/sheet6.xml" Id="R709769d2cf5748df" /><Relationship Type="http://schemas.openxmlformats.org/officeDocument/2006/relationships/worksheet" Target="/xl/worksheets/sheet7.xml" Id="Rc8b7a15451aa4f61" /><Relationship Type="http://schemas.openxmlformats.org/officeDocument/2006/relationships/worksheet" Target="/xl/worksheets/sheet8.xml" Id="Re7d07564f79843ae" /><Relationship Type="http://schemas.openxmlformats.org/officeDocument/2006/relationships/worksheet" Target="/xl/worksheets/sheet9.xml" Id="R0ad88499218447ae" /><Relationship Type="http://schemas.openxmlformats.org/officeDocument/2006/relationships/worksheet" Target="/xl/worksheets/sheet10.xml" Id="Ra896c6a778f34e5a" /><Relationship Type="http://schemas.openxmlformats.org/officeDocument/2006/relationships/worksheet" Target="/xl/worksheets/sheet11.xml" Id="R81a251c4677547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ormalSelections" displayName="FormalSelections" ref="A1:Q30" headerRowCount="1" totalsRowCount="0" totalsRowShown="0">
  <x:autoFilter ref="A1:Q30"/>
  <x:tableColumns count="17">
    <x:tableColumn id="1" name="行动日"/>
    <x:tableColumn id="2" name="形成日"/>
    <x:tableColumn id="3" name="盘前冻结"/>
    <x:tableColumn id="4" name="排序"/>
    <x:tableColumn id="5" name="代码"/>
    <x:tableColumn id="6" name="名称"/>
    <x:tableColumn id="7" name="机会类型"/>
    <x:tableColumn id="8" name="正式选择依据"/>
    <x:tableColumn id="9" name="最强反证"/>
    <x:tableColumn id="10" name="最近替代比较"/>
    <x:tableColumn id="11" name="截至8/31 D"/>
    <x:tableColumn id="12" name="截至8/31收盘收益"/>
    <x:tableColumn id="13" name="最高收盘收益"/>
    <x:tableColumn id="14" name="最高盘中收益"/>
    <x:tableColumn id="15" name="MAE"/>
    <x:tableColumn id="16" name="行情状态"/>
    <x:tableColumn id="17" name="旧trace与日志一致"/>
  </x:tableColumns>
  <x:tableStyleInfo name="TableStyleMedium2" showFirstColumn="0" showLastColumn="0" showRowStripes="1" showColumnStripes="0"/>
</x:table>
</file>

<file path=xl/tables/table2.xml><?xml version="1.0" encoding="utf-8"?>
<x:table xmlns:x="http://schemas.openxmlformats.org/spreadsheetml/2006/main" id="2" name="ReviewContracts" displayName="ReviewContracts" ref="A1:R30" headerRowCount="1" totalsRowCount="0" totalsRowShown="0">
  <x:autoFilter ref="A1:R30"/>
  <x:tableColumns count="18">
    <x:tableColumn id="1" name="行动日"/>
    <x:tableColumn id="2" name="代码"/>
    <x:tableColumn id="3" name="名称"/>
    <x:tableColumn id="4" name="发动机"/>
    <x:tableColumn id="5" name="状态"/>
    <x:tableColumn id="6" name="市场确认"/>
    <x:tableColumn id="7" name="市场确认依据"/>
    <x:tableColumn id="8" name="催化"/>
    <x:tableColumn id="9" name="短期发动机"/>
    <x:tableColumn id="10" name="传播链"/>
    <x:tableColumn id="11" name="价格确认"/>
    <x:tableColumn id="12" name="剩余路径"/>
    <x:tableColumn id="13" name="基本面锚"/>
    <x:tableColumn id="14" name="公司风险"/>
    <x:tableColumn id="15" name="关键未知"/>
    <x:tableColumn id="16" name="行动条件证据ID"/>
    <x:tableColumn id="17" name="决策证据ID"/>
    <x:tableColumn id="18" name="历史缺口说明"/>
  </x:tableColumns>
  <x:tableStyleInfo name="TableStyleMedium2" showFirstColumn="0" showLastColumn="0" showRowStripes="1" showColumnStripes="0"/>
</x:table>
</file>

<file path=xl/tables/table3.xml><?xml version="1.0" encoding="utf-8"?>
<x:table xmlns:x="http://schemas.openxmlformats.org/spreadsheetml/2006/main" id="3" name="DecisionEvidence" displayName="DecisionEvidence" ref="A1:K127" headerRowCount="1" totalsRowCount="0" totalsRowShown="0">
  <x:autoFilter ref="A1:K127"/>
  <x:tableColumns count="11">
    <x:tableColumn id="1" name="形成日"/>
    <x:tableColumn id="2" name="行动日"/>
    <x:tableColumn id="3" name="代码"/>
    <x:tableColumn id="4" name="决策ID"/>
    <x:tableColumn id="5" name="来源Skill"/>
    <x:tableColumn id="6" name="作用"/>
    <x:tableColumn id="7" name="证据状态"/>
    <x:tableColumn id="8" name="决策变化"/>
    <x:tableColumn id="9" name="证据ID"/>
    <x:tableColumn id="10" name="证据版本"/>
    <x:tableColumn id="11" name="形成日数值"/>
  </x:tableColumns>
  <x:tableStyleInfo name="TableStyleMedium2" showFirstColumn="0" showLastColumn="0" showRowStripes="1" showColumnStripes="0"/>
</x:table>
</file>

<file path=xl/tables/table4.xml><?xml version="1.0" encoding="utf-8"?>
<x:table xmlns:x="http://schemas.openxmlformats.org/spreadsheetml/2006/main" id="4" name="CandidateLedger" displayName="CandidateLedger" ref="A1:L79" headerRowCount="1" totalsRowCount="0" totalsRowShown="0">
  <x:autoFilter ref="A1:L79"/>
  <x:tableColumns count="12">
    <x:tableColumn id="1" name="形成日"/>
    <x:tableColumn id="2" name="行动日"/>
    <x:tableColumn id="3" name="代码"/>
    <x:tableColumn id="4" name="名称"/>
    <x:tableColumn id="5" name="最终命运"/>
    <x:tableColumn id="6" name="机会类型"/>
    <x:tableColumn id="7" name="来源Skill"/>
    <x:tableColumn id="8" name="进入/淘汰依据"/>
    <x:tableColumn id="9" name="发动机"/>
    <x:tableColumn id="10" name="发动机状态"/>
    <x:tableColumn id="11" name="市场确认"/>
    <x:tableColumn id="12" name="格式说明"/>
  </x:tableColumns>
  <x:tableStyleInfo name="TableStyleMedium2" showFirstColumn="0" showLastColumn="0" showRowStripes="1" showColumnStripes="0"/>
</x:table>
</file>

<file path=xl/tables/table5.xml><?xml version="1.0" encoding="utf-8"?>
<x:table xmlns:x="http://schemas.openxmlformats.org/spreadsheetml/2006/main" id="5" name="DailyPaths" displayName="DailyPaths" ref="A1:S125" headerRowCount="1" totalsRowCount="0" totalsRowShown="0">
  <x:autoFilter ref="A1:S125"/>
  <x:tableColumns count="19">
    <x:tableColumn id="1" name="事件键"/>
    <x:tableColumn id="2" name="行动日"/>
    <x:tableColumn id="3" name="代码"/>
    <x:tableColumn id="4" name="名称"/>
    <x:tableColumn id="5" name="交易日"/>
    <x:tableColumn id="6" name="D"/>
    <x:tableColumn id="7" name="状态"/>
    <x:tableColumn id="8" name="开"/>
    <x:tableColumn id="9" name="高"/>
    <x:tableColumn id="10" name="低"/>
    <x:tableColumn id="11" name="收"/>
    <x:tableColumn id="12" name="日涨跌"/>
    <x:tableColumn id="13" name="成交量(股)"/>
    <x:tableColumn id="14" name="成交额(元)"/>
    <x:tableColumn id="15" name="收盘收益"/>
    <x:tableColumn id="16" name="最高收盘收益"/>
    <x:tableColumn id="17" name="最高盘中收益"/>
    <x:tableColumn id="18" name="MAE"/>
    <x:tableColumn id="19" name="峰值回撤"/>
  </x:tableColumns>
  <x:tableStyleInfo name="TableStyleMedium2" showFirstColumn="0" showLastColumn="0" showRowStripes="1" showColumnStripes="0"/>
</x:table>
</file>

<file path=xl/tables/table6.xml><?xml version="1.0" encoding="utf-8"?>
<x:table xmlns:x="http://schemas.openxmlformats.org/spreadsheetml/2006/main" id="6" name="MonitorReviews" displayName="MonitorReviews" ref="A1:L27" headerRowCount="1" totalsRowCount="0" totalsRowShown="0">
  <x:autoFilter ref="A1:L27"/>
  <x:tableColumns count="12">
    <x:tableColumn id="1" name="报告分析日"/>
    <x:tableColumn id="2" name="报告冻结时点"/>
    <x:tableColumn id="3" name="Episode"/>
    <x:tableColumn id="4" name="当前判断"/>
    <x:tableColumn id="5" name="当前复盘"/>
    <x:tableColumn id="6" name="弱/断链环节"/>
    <x:tableColumn id="7" name="最支持解释"/>
    <x:tableColumn id="8" name="替代股解释"/>
    <x:tableColumn id="9" name="原始理由"/>
    <x:tableColumn id="10" name="原始风险"/>
    <x:tableColumn id="11" name="监控状态"/>
    <x:tableColumn id="12" name="为什么报告"/>
  </x:tableColumns>
  <x:tableStyleInfo name="TableStyleMedium2" showFirstColumn="0" showLastColumn="0" showRowStripes="1" showColumnStripes="0"/>
</x:table>
</file>

<file path=xl/tables/table7.xml><?xml version="1.0" encoding="utf-8"?>
<x:table xmlns:x="http://schemas.openxmlformats.org/spreadsheetml/2006/main" id="7" name="MarketContext" displayName="MarketContext" ref="A1:Q9" headerRowCount="1" totalsRowCount="0" totalsRowShown="0">
  <x:autoFilter ref="A1:Q9"/>
  <x:tableColumns count="17">
    <x:tableColumn id="1" name="形成日"/>
    <x:tableColumn id="2" name="公式版本"/>
    <x:tableColumn id="3" name="1日等权"/>
    <x:tableColumn id="4" name="1日广度"/>
    <x:tableColumn id="5" name="3日等权"/>
    <x:tableColumn id="6" name="3日广度"/>
    <x:tableColumn id="7" name="5日等权"/>
    <x:tableColumn id="8" name="5日广度"/>
    <x:tableColumn id="9" name="20日等权"/>
    <x:tableColumn id="10" name="20日广度"/>
    <x:tableColumn id="11" name="成交额"/>
    <x:tableColumn id="12" name="成交/20日"/>
    <x:tableColumn id="13" name="20日新高占比"/>
    <x:tableColumn id="14" name="涨停数"/>
    <x:tableColumn id="15" name="跌停数"/>
    <x:tableColumn id="16" name="覆盖状态"/>
    <x:tableColumn id="17" name="限制"/>
  </x:tableColumns>
  <x:tableStyleInfo name="TableStyleMedium2" showFirstColumn="0" showLastColumn="0" showRowStripes="1" showColumnStripes="0"/>
</x:table>
</file>

<file path=xl/tables/table8.xml><?xml version="1.0" encoding="utf-8"?>
<x:table xmlns:x="http://schemas.openxmlformats.org/spreadsheetml/2006/main" id="8" name="SectorContext" displayName="SectorContext" ref="A1:Q55" headerRowCount="1" totalsRowCount="0" totalsRowShown="0">
  <x:autoFilter ref="A1:Q55"/>
  <x:tableColumns count="17">
    <x:tableColumn id="1" name="形成日"/>
    <x:tableColumn id="2" name="类型"/>
    <x:tableColumn id="3" name="代码"/>
    <x:tableColumn id="4" name="名称"/>
    <x:tableColumn id="5" name="层级"/>
    <x:tableColumn id="6" name="成员数"/>
    <x:tableColumn id="7" name="覆盖率"/>
    <x:tableColumn id="8" name="1日相对"/>
    <x:tableColumn id="9" name="1日广度"/>
    <x:tableColumn id="10" name="3日相对"/>
    <x:tableColumn id="11" name="3日广度"/>
    <x:tableColumn id="12" name="5日相对"/>
    <x:tableColumn id="13" name="5日广度"/>
    <x:tableColumn id="14" name="5日换手份额变化"/>
    <x:tableColumn id="15" name="前三正贡献"/>
    <x:tableColumn id="16" name="覆盖状态"/>
    <x:tableColumn id="17" name="限制"/>
  </x:tableColumns>
  <x:tableStyleInfo name="TableStyleMedium2" showFirstColumn="0" showLastColumn="0" showRowStripes="1" showColumnStripes="0"/>
</x:table>
</file>

<file path=xl/tables/table9.xml><?xml version="1.0" encoding="utf-8"?>
<x:table xmlns:x="http://schemas.openxmlformats.org/spreadsheetml/2006/main" id="9" name="FormationPriceContext" displayName="FormationPriceContext" ref="A1:S79" headerRowCount="1" totalsRowCount="0" totalsRowShown="0">
  <x:autoFilter ref="A1:S79"/>
  <x:tableColumns count="19">
    <x:tableColumn id="1" name="形成日"/>
    <x:tableColumn id="2" name="代码"/>
    <x:tableColumn id="3" name="1日收益"/>
    <x:tableColumn id="4" name="3日收益"/>
    <x:tableColumn id="5" name="5日收益"/>
    <x:tableColumn id="6" name="20日收益"/>
    <x:tableColumn id="7" name="5日相对市场"/>
    <x:tableColumn id="8" name="成交额比20日"/>
    <x:tableColumn id="9" name="5日价量效率"/>
    <x:tableColumn id="10" name="涨停贡献"/>
    <x:tableColumn id="11" name="60日位置"/>
    <x:tableColumn id="12" name="主行业代码"/>
    <x:tableColumn id="13" name="主行业"/>
    <x:tableColumn id="14" name="5日相对行业"/>
    <x:tableColumn id="15" name="20%目标ATR距离"/>
    <x:tableColumn id="16" name="覆盖状态"/>
    <x:tableColumn id="17" name="情景Case"/>
    <x:tableColumn id="18" name="情景Control"/>
    <x:tableColumn id="19" name="限制"/>
  </x:tableColumns>
  <x:tableStyleInfo name="TableStyleMedium2" showFirstColumn="0" showLastColumn="0" showRowStripes="1" showColumnStripes="0"/>
</x:table>
</file>

<file path=xl/tables/table10.xml><?xml version="1.0" encoding="utf-8"?>
<x:table xmlns:x="http://schemas.openxmlformats.org/spreadsheetml/2006/main" id="10" name="DataInventory" displayName="DataInventory" ref="A1:C14" headerRowCount="1" totalsRowCount="0" totalsRowShown="0">
  <x:autoFilter ref="A1:C14"/>
  <x:tableColumns count="3">
    <x:tableColumn id="1" name="相对路径"/>
    <x:tableColumn id="2" name="字节"/>
    <x:tableColumn id="3"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744e95c26548e7" /></Relationships>
</file>

<file path=xl/worksheets/_rels/sheet3.xml.rels>&#65279;<?xml version="1.0" encoding="utf-8"?><Relationships xmlns="http://schemas.openxmlformats.org/package/2006/relationships"><Relationship Type="http://schemas.openxmlformats.org/officeDocument/2006/relationships/table" Target="/xl/tables/table2.xml" Id="R24b5e7dad3ca4694" /></Relationships>
</file>

<file path=xl/worksheets/_rels/sheet4.xml.rels>&#65279;<?xml version="1.0" encoding="utf-8"?><Relationships xmlns="http://schemas.openxmlformats.org/package/2006/relationships"><Relationship Type="http://schemas.openxmlformats.org/officeDocument/2006/relationships/table" Target="/xl/tables/table3.xml" Id="R432da26bb10f4d5b" /></Relationships>
</file>

<file path=xl/worksheets/_rels/sheet5.xml.rels>&#65279;<?xml version="1.0" encoding="utf-8"?><Relationships xmlns="http://schemas.openxmlformats.org/package/2006/relationships"><Relationship Type="http://schemas.openxmlformats.org/officeDocument/2006/relationships/table" Target="/xl/tables/table4.xml" Id="Re3fb583afba74049" /></Relationships>
</file>

<file path=xl/worksheets/_rels/sheet6.xml.rels>&#65279;<?xml version="1.0" encoding="utf-8"?><Relationships xmlns="http://schemas.openxmlformats.org/package/2006/relationships"><Relationship Type="http://schemas.openxmlformats.org/officeDocument/2006/relationships/table" Target="/xl/tables/table5.xml" Id="R5e911bb20de44cc0" /></Relationships>
</file>

<file path=xl/worksheets/_rels/sheet7.xml.rels>&#65279;<?xml version="1.0" encoding="utf-8"?><Relationships xmlns="http://schemas.openxmlformats.org/package/2006/relationships"><Relationship Type="http://schemas.openxmlformats.org/officeDocument/2006/relationships/table" Target="/xl/tables/table6.xml" Id="Rd4fd2377b05e4dcf" /></Relationships>
</file>

<file path=xl/worksheets/_rels/sheet8.xml.rels>&#65279;<?xml version="1.0" encoding="utf-8"?><Relationships xmlns="http://schemas.openxmlformats.org/package/2006/relationships"><Relationship Type="http://schemas.openxmlformats.org/officeDocument/2006/relationships/table" Target="/xl/tables/table7.xml" Id="R930889515a3e4db0" /></Relationships>
</file>

<file path=xl/worksheets/_rels/sheet9.xml.rels>&#65279;<?xml version="1.0" encoding="utf-8"?><Relationships xmlns="http://schemas.openxmlformats.org/package/2006/relationships"><Relationship Type="http://schemas.openxmlformats.org/officeDocument/2006/relationships/table" Target="/xl/tables/table8.xml" Id="Rd5067b1fe7b64ed0" /></Relationships>
</file>

<file path=xl/worksheets/_rels/sheet10.xml.rels>&#65279;<?xml version="1.0" encoding="utf-8"?><Relationships xmlns="http://schemas.openxmlformats.org/package/2006/relationships"><Relationship Type="http://schemas.openxmlformats.org/officeDocument/2006/relationships/table" Target="/xl/tables/table9.xml" Id="Rb42025acb3634bcd" /></Relationships>
</file>

<file path=xl/worksheets/_rels/sheet11.xml.rels>&#65279;<?xml version="1.0" encoding="utf-8"?><Relationships xmlns="http://schemas.openxmlformats.org/package/2006/relationships"><Relationship Type="http://schemas.openxmlformats.org/officeDocument/2006/relationships/table" Target="/xl/tables/table10.xml" Id="R2457a949b81245d5" /></Relationships>
</file>

<file path=xl/worksheets/sheet1.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2.779999732971191" hidden="0" customWidth="1"/>
    <x:col min="4" max="4" width="12.779999732971191" hidden="0" customWidth="1"/>
    <x:col min="5" max="5" width="12.779999732971191" hidden="0" customWidth="1"/>
    <x:col min="6" max="6" width="12.779999732971191" hidden="0" customWidth="1"/>
    <x:col min="7" max="7" width="12.779999732971191" hidden="0" customWidth="1"/>
    <x:col min="8" max="8" width="12.779999732971191" hidden="0" customWidth="1"/>
  </x:cols>
  <x:sheetData>
    <x:row r="1" ht="25.5" customHeight="1">
      <x:c r="A1" s="48" t="str">
        <x:v>A 股五 Skill 优化研究样本</x:v>
      </x:c>
      <x:c r="B1" s="48" t="str">
        <x:v>A 股五 Skill 优化研究样本</x:v>
      </x:c>
      <x:c r="C1" s="48" t="str">
        <x:v>A 股五 Skill 优化研究样本</x:v>
      </x:c>
      <x:c r="D1" s="48" t="str">
        <x:v>A 股五 Skill 优化研究样本</x:v>
      </x:c>
      <x:c r="E1" s="48" t="str">
        <x:v>A 股五 Skill 优化研究样本</x:v>
      </x:c>
      <x:c r="F1" s="48" t="str">
        <x:v>A 股五 Skill 优化研究样本</x:v>
      </x:c>
      <x:c r="G1" s="48" t="str">
        <x:v>A 股五 Skill 优化研究样本</x:v>
      </x:c>
      <x:c r="H1" s="48" t="str">
        <x:v>A 股五 Skill 优化研究样本</x:v>
      </x:c>
    </x:row>
    <x:row r="2" ht="25.5" customHeight="1">
      <x:c r="A2" s="48" t="str">
        <x:v>A 股五 Skill 优化研究样本</x:v>
      </x:c>
      <x:c r="B2" s="48" t="str">
        <x:v>A 股五 Skill 优化研究样本</x:v>
      </x:c>
      <x:c r="C2" s="48" t="str">
        <x:v>A 股五 Skill 优化研究样本</x:v>
      </x:c>
      <x:c r="D2" s="48" t="str">
        <x:v>A 股五 Skill 优化研究样本</x:v>
      </x:c>
      <x:c r="E2" s="48" t="str">
        <x:v>A 股五 Skill 优化研究样本</x:v>
      </x:c>
      <x:c r="F2" s="48" t="str">
        <x:v>A 股五 Skill 优化研究样本</x:v>
      </x:c>
      <x:c r="G2" s="48" t="str">
        <x:v>A 股五 Skill 优化研究样本</x:v>
      </x:c>
      <x:c r="H2" s="48" t="str">
        <x:v>A 股五 Skill 优化研究样本</x:v>
      </x:c>
    </x:row>
    <x:row r="3" ht="25.5" customHeight="1">
      <x:c r="A3" s="52" t="str">
        <x:v>行动日 2026-08-20 至 2026-08-31｜形成日证据按各次 selection_as_of 冻结｜事后行情仅截至 2026-08-31</x:v>
      </x:c>
      <x:c r="B3" s="52" t="str">
        <x:v>行动日 2026-08-20 至 2026-08-31｜形成日证据按各次 selection_as_of 冻结｜事后行情仅截至 2026-08-31</x:v>
      </x:c>
      <x:c r="C3" s="52" t="str">
        <x:v>行动日 2026-08-20 至 2026-08-31｜形成日证据按各次 selection_as_of 冻结｜事后行情仅截至 2026-08-31</x:v>
      </x:c>
      <x:c r="D3" s="52" t="str">
        <x:v>行动日 2026-08-20 至 2026-08-31｜形成日证据按各次 selection_as_of 冻结｜事后行情仅截至 2026-08-31</x:v>
      </x:c>
      <x:c r="E3" s="52" t="str">
        <x:v>行动日 2026-08-20 至 2026-08-31｜形成日证据按各次 selection_as_of 冻结｜事后行情仅截至 2026-08-31</x:v>
      </x:c>
      <x:c r="F3" s="52" t="str">
        <x:v>行动日 2026-08-20 至 2026-08-31｜形成日证据按各次 selection_as_of 冻结｜事后行情仅截至 2026-08-31</x:v>
      </x:c>
      <x:c r="G3" s="52" t="str">
        <x:v>行动日 2026-08-20 至 2026-08-31｜形成日证据按各次 selection_as_of 冻结｜事后行情仅截至 2026-08-31</x:v>
      </x:c>
      <x:c r="H3" s="52" t="str">
        <x:v>行动日 2026-08-20 至 2026-08-31｜形成日证据按各次 selection_as_of 冻结｜事后行情仅截至 2026-08-31</x:v>
      </x:c>
    </x:row>
    <x:row r="5">
      <x:c r="A5" s="56" t="str">
        <x:v>正式入选事件</x:v>
      </x:c>
      <x:c r="B5" s="56" t="str">
        <x:v>正式入选事件</x:v>
      </x:c>
      <x:c r="C5" s="56" t="str">
        <x:v>不同股票</x:v>
      </x:c>
      <x:c r="D5" s="56" t="str">
        <x:v>不同股票</x:v>
      </x:c>
      <x:c r="E5" s="56" t="str">
        <x:v>行动日</x:v>
      </x:c>
      <x:c r="F5" s="56" t="str">
        <x:v>行动日</x:v>
      </x:c>
    </x:row>
    <x:row r="6">
      <x:c r="A6" s="63" t="n">
        <x:f>COUNTA('正式入选'!F2:F30)</x:f>
        <x:v>29</x:v>
      </x:c>
      <x:c r="B6" s="64"/>
      <x:c r="C6" s="63" t="n">
        <x:f>ROWS(_xlfn.UNIQUE('正式入选'!E2:E30))</x:f>
        <x:v>28</x:v>
      </x:c>
      <x:c r="D6" s="64"/>
      <x:c r="E6" s="63" t="n">
        <x:f>ROWS(_xlfn.UNIQUE('正式入选'!A2:A30))</x:f>
        <x:v>8</x:v>
      </x:c>
      <x:c r="F6" s="64"/>
    </x:row>
    <x:row r="8">
      <x:c r="A8" s="56" t="str">
        <x:v>候选账</x:v>
      </x:c>
      <x:c r="B8" s="56" t="str">
        <x:v>候选账</x:v>
      </x:c>
      <x:c r="C8" s="56" t="str">
        <x:v>决策证据</x:v>
      </x:c>
      <x:c r="D8" s="56" t="str">
        <x:v>决策证据</x:v>
      </x:c>
      <x:c r="E8" s="56" t="str">
        <x:v>逐 episode 复盘</x:v>
      </x:c>
      <x:c r="F8" s="56" t="str">
        <x:v>逐 episode 复盘</x:v>
      </x:c>
    </x:row>
    <x:row r="9">
      <x:c r="A9" s="63" t="n">
        <x:f>COUNTA('候选账'!C2:C79)</x:f>
        <x:v>78</x:v>
      </x:c>
      <x:c r="B9" s="64"/>
      <x:c r="C9" s="63" t="n">
        <x:f>COUNTA('决策证据'!A2:A127)</x:f>
        <x:v>126</x:v>
      </x:c>
      <x:c r="D9" s="64"/>
      <x:c r="E9" s="63" t="n">
        <x:f>COUNTA('跟踪复盘'!C2:C27)</x:f>
        <x:v>26</x:v>
      </x:c>
      <x:c r="F9" s="64"/>
    </x:row>
    <x:row r="12">
      <x:c r="A12" s="67" t="str">
        <x:v>研究与复盘口径</x:v>
      </x:c>
      <x:c r="B12" s="67" t="str">
        <x:v>研究与复盘口径</x:v>
      </x:c>
      <x:c r="C12" s="67" t="str">
        <x:v>研究与复盘口径</x:v>
      </x:c>
      <x:c r="D12" s="67" t="str">
        <x:v>研究与复盘口径</x:v>
      </x:c>
      <x:c r="E12" s="67" t="str">
        <x:v>研究与复盘口径</x:v>
      </x:c>
      <x:c r="F12" s="67" t="str">
        <x:v>研究与复盘口径</x:v>
      </x:c>
      <x:c r="G12" s="67" t="str">
        <x:v>研究与复盘口径</x:v>
      </x:c>
      <x:c r="H12" s="67" t="str">
        <x:v>研究与复盘口径</x:v>
      </x:c>
    </x:row>
    <x:row r="13" ht="19.5" customHeight="1">
      <x:c r="A13" s="87"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3" s="89"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4" ht="19.5" customHeight="1">
      <x:c r="A14"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4"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5" ht="19.5" customHeight="1">
      <x:c r="A15"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5"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6" ht="19.5" customHeight="1">
      <x:c r="A16"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6"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7" ht="19.5" customHeight="1">
      <x:c r="A17"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7"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8" ht="19.5" customHeight="1">
      <x:c r="A18"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8"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9" ht="19.5" customHeight="1">
      <x:c r="A19" s="93"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9" s="95"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21">
      <x:c r="A21" s="96" t="str">
        <x:v>行动日入选数量</x:v>
      </x:c>
      <x:c r="B21" s="96" t="str">
        <x:v>行动日入选数量</x:v>
      </x:c>
      <x:c r="C21" s="96" t="str">
        <x:v>行动日入选数量</x:v>
      </x:c>
      <x:c r="D21" s="96" t="str">
        <x:v>行动日入选数量</x:v>
      </x:c>
      <x:c r="E21" s="96" t="str">
        <x:v>行动日入选数量</x:v>
      </x:c>
      <x:c r="F21" s="96" t="str">
        <x:v>行动日入选数量</x:v>
      </x:c>
      <x:c r="G21" s="96" t="str">
        <x:v>行动日入选数量</x:v>
      </x:c>
      <x:c r="H21" s="96" t="str">
        <x:v>行动日入选数量</x:v>
      </x:c>
    </x:row>
    <x:row r="22">
      <x:c r="A22" s="103" t="n">
        <x:v>46254</x:v>
      </x:c>
      <x:c r="B22" s="105" t="n">
        <x:f>COUNTIF('正式入选'!$A$2:$A$30,A22)</x:f>
        <x:v>4</x:v>
      </x:c>
    </x:row>
    <x:row r="23">
      <x:c r="A23" s="103" t="n">
        <x:v>46255</x:v>
      </x:c>
      <x:c r="B23" s="105" t="n">
        <x:f>COUNTIF('正式入选'!$A$2:$A$30,A23)</x:f>
        <x:v>4</x:v>
      </x:c>
    </x:row>
    <x:row r="24">
      <x:c r="A24" s="103" t="n">
        <x:v>46258</x:v>
      </x:c>
      <x:c r="B24" s="105" t="n">
        <x:f>COUNTIF('正式入选'!$A$2:$A$30,A24)</x:f>
        <x:v>2</x:v>
      </x:c>
    </x:row>
    <x:row r="25">
      <x:c r="A25" s="103" t="n">
        <x:v>46259</x:v>
      </x:c>
      <x:c r="B25" s="105" t="n">
        <x:f>COUNTIF('正式入选'!$A$2:$A$30,A25)</x:f>
        <x:v>2</x:v>
      </x:c>
    </x:row>
    <x:row r="26">
      <x:c r="A26" s="103" t="n">
        <x:v>46260</x:v>
      </x:c>
      <x:c r="B26" s="105" t="n">
        <x:f>COUNTIF('正式入选'!$A$2:$A$30,A26)</x:f>
        <x:v>4</x:v>
      </x:c>
    </x:row>
    <x:row r="27">
      <x:c r="A27" s="103" t="n">
        <x:v>46261</x:v>
      </x:c>
      <x:c r="B27" s="105" t="n">
        <x:f>COUNTIF('正式入选'!$A$2:$A$30,A27)</x:f>
        <x:v>4</x:v>
      </x:c>
    </x:row>
    <x:row r="28">
      <x:c r="A28" s="103" t="n">
        <x:v>46262</x:v>
      </x:c>
      <x:c r="B28" s="105" t="n">
        <x:f>COUNTIF('正式入选'!$A$2:$A$30,A28)</x:f>
        <x:v>5</x:v>
      </x:c>
    </x:row>
    <x:row r="29">
      <x:c r="A29" s="103" t="n">
        <x:v>46265</x:v>
      </x:c>
      <x:c r="B29" s="105" t="n">
        <x:f>COUNTIF('正式入选'!$A$2:$A$30,A29)</x:f>
        <x:v>4</x:v>
      </x:c>
    </x:row>
  </x:sheetData>
  <x:mergeCells>
    <x:mergeCell ref="A1:H2"/>
    <x:mergeCell ref="A3:H3"/>
    <x:mergeCell ref="A5:B5"/>
    <x:mergeCell ref="A6:B6"/>
    <x:mergeCell ref="C5:D5"/>
    <x:mergeCell ref="C6:D6"/>
    <x:mergeCell ref="E5:F5"/>
    <x:mergeCell ref="E6:F6"/>
    <x:mergeCell ref="A8:B8"/>
    <x:mergeCell ref="A9:B9"/>
    <x:mergeCell ref="C8:D8"/>
    <x:mergeCell ref="C9:D9"/>
    <x:mergeCell ref="E8:F8"/>
    <x:mergeCell ref="E9:F9"/>
    <x:mergeCell ref="A12:H12"/>
    <x:mergeCell ref="A13:H19"/>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18.889999389648438" hidden="0" customWidth="1"/>
    <x:col min="4" max="4" width="5.78000020980835" hidden="0" customWidth="1"/>
    <x:col min="5" max="5" width="9.779999732971191" hidden="0" customWidth="1"/>
    <x:col min="6" max="6" width="9.329999923706055" hidden="0" customWidth="1"/>
    <x:col min="7" max="7" width="16.670000076293945" hidden="0" customWidth="1"/>
    <x:col min="8" max="8" width="51.11000061035156" hidden="0" customWidth="1"/>
    <x:col min="9" max="9" width="43.33000183105469" hidden="0" customWidth="1"/>
    <x:col min="10" max="10" width="43.33000183105469" hidden="0" customWidth="1"/>
    <x:col min="11" max="11" width="8.670000076293945" hidden="0" customWidth="1"/>
    <x:col min="12" max="12" width="11.5600004196167" hidden="0" customWidth="1"/>
    <x:col min="13" max="13" width="10.670000076293945" hidden="0" customWidth="1"/>
    <x:col min="14" max="14" width="10.670000076293945" hidden="0" customWidth="1"/>
    <x:col min="15" max="15" width="9.109999656677246" hidden="0" customWidth="1"/>
    <x:col min="16" max="16" width="13.890000343322754" hidden="0" customWidth="1"/>
    <x:col min="17" max="17" width="11.5600004196167" hidden="0" customWidth="1"/>
  </x:cols>
  <x:sheetData>
    <x:row r="1" ht="25.5" customHeight="1">
      <x:c r="A1" s="16" t="str">
        <x:v>行动日</x:v>
      </x:c>
      <x:c r="B1" s="16" t="str">
        <x:v>形成日</x:v>
      </x:c>
      <x:c r="C1" s="19" t="str">
        <x:v>盘前冻结</x:v>
      </x:c>
      <x:c r="D1" s="22" t="str">
        <x:v>排序</x:v>
      </x:c>
      <x:c r="E1" s="11" t="str">
        <x:v>代码</x:v>
      </x:c>
      <x:c r="F1" s="11" t="str">
        <x:v>名称</x:v>
      </x:c>
      <x:c r="G1" s="11" t="str">
        <x:v>机会类型</x:v>
      </x:c>
      <x:c r="H1" s="11" t="str">
        <x:v>正式选择依据</x:v>
      </x:c>
      <x:c r="I1" s="11" t="str">
        <x:v>最强反证</x:v>
      </x:c>
      <x:c r="J1" s="11" t="str">
        <x:v>最近替代比较</x:v>
      </x:c>
      <x:c r="K1" s="22" t="str">
        <x:v>截至8/31 D</x:v>
      </x:c>
      <x:c r="L1" s="27" t="str">
        <x:v>截至8/31收盘收益</x:v>
      </x:c>
      <x:c r="M1" s="27" t="str">
        <x:v>最高收盘收益</x:v>
      </x:c>
      <x:c r="N1" s="27" t="str">
        <x:v>最高盘中收益</x:v>
      </x:c>
      <x:c r="O1" s="27" t="str">
        <x:v>MAE</x:v>
      </x:c>
      <x:c r="P1" s="11" t="str">
        <x:v>行情状态</x:v>
      </x:c>
      <x:c r="Q1" s="11" t="str">
        <x:v>旧trace与日志一致</x:v>
      </x:c>
    </x:row>
    <x:row r="2" ht="69" customHeight="1">
      <x:c r="A2" s="17" t="n">
        <x:v>46254</x:v>
      </x:c>
      <x:c r="B2" s="17" t="n">
        <x:v>46253</x:v>
      </x:c>
      <x:c r="C2" s="20" t="n">
        <x:v>46254.37847222222</x:v>
      </x:c>
      <x:c r="D2" s="23" t="n">
        <x:v>1</x:v>
      </x:c>
      <x:c r="E2" s="12" t="str">
        <x:v>000703.SZ</x:v>
      </x:c>
      <x:c r="F2" s="12" t="str">
        <x:v>恒逸石化</x:v>
      </x:c>
      <x:c r="G2" s="25" t="str">
        <x:v>sector_diffusion</x:v>
      </x:c>
      <x:c r="H2" s="25" t="str">
        <x:v>炼油化工在全市场等权下跌3.91%的形成日仍实现等权上涨3.04%、上涨面70%，3日等权上涨5.63%、上涨面90%，属于逆市多成员共同增强。个股当日上涨9.22%，成交额约为20日均值2.25倍，收19.08元、接近日高19.22元；半年报归母净利润同比增长约2500.73%，文莱炼厂和聚酯链盈利改善与板块传导真实相连。价格确认使其优先于仅有行业防御或仅有公司故事的候选。</x:v>
      </x:c>
      <x:c r="I2" s="25" t="str">
        <x:v>当日已上涨9.22%、60日价格位置接近100%，行动日若明显高开或成交放大却不能继续推动收盘，剩余路径会迅速收窄；半年报经营现金流同比下降168.78%，资产负债率约67.57%，景气改善并非没有财务反证。</x:v>
      </x:c>
      <x:c r="J2" s="25" t="str">
        <x:v>同类型最接近恒力石化：二者都获得炼油化工广度确认，但恒逸石化形成日涨幅9.22%高于恒力石化5.01%，且已有半年报利润增量与文莱炼厂因果链；跨类型相比金田股份，恒逸同时具备板块扩散、公司传导和价格确认，而非主要依赖单股量价。</x:v>
      </x:c>
      <x:c r="K2" s="23" t="n">
        <x:v>8</x:v>
      </x:c>
      <x:c r="L2" s="28" t="n">
        <x:v>0.010351966873705987</x:v>
      </x:c>
      <x:c r="M2" s="28" t="n">
        <x:v>0.07660455486542439</x:v>
      </x:c>
      <x:c r="N2" s="28" t="n">
        <x:v>0.08436853002070377</x:v>
      </x:c>
      <x:c r="O2" s="28" t="n">
        <x:v>-0.08281573498964812</x:v>
      </x:c>
      <x:c r="P2" s="12" t="str">
        <x:v>available</x:v>
      </x:c>
      <x:c r="Q2" s="13" t="b">
        <x:v>0</x:v>
      </x:c>
    </x:row>
    <x:row r="3" ht="69" customHeight="1">
      <x:c r="A3" s="18" t="n">
        <x:v>46254</x:v>
      </x:c>
      <x:c r="B3" s="18" t="n">
        <x:v>46253</x:v>
      </x:c>
      <x:c r="C3" s="21" t="n">
        <x:v>46254.37847222222</x:v>
      </x:c>
      <x:c r="D3" s="24" t="n">
        <x:v>2</x:v>
      </x:c>
      <x:c r="E3" s="14" t="str">
        <x:v>601609.SH</x:v>
      </x:c>
      <x:c r="F3" s="14" t="str">
        <x:v>金田股份</x:v>
      </x:c>
      <x:c r="G3" s="26" t="str">
        <x:v>independent_price_anomaly</x:v>
      </x:c>
      <x:c r="H3" s="26" t="str">
        <x:v>形成日上涨8.37%，相对全市场多出约11.27个百分点，成交额约为20日均值5.32倍；收12.95元、接近日高13.15元，放量仍有效推进收盘。同期披露的半年报收入同比增长33.74%、归母净利润增长18.44%，但公司事实仅作增强，真正改变取舍的是在极弱市场中仍保持的独立价格增量和充足流动性。</x:v>
      </x:c>
      <x:c r="I3" s="26" t="str">
        <x:v>近5日已上涨27.09%、20日上涨34.62%，价格并不低；半年报扣非净利润同比下降15.22%、经营现金流同比下降352.88%，说明利润质量存在反证。若行动日高开后不能维持接近日内高位的收盘推进，则不参与。</x:v>
      </x:c>
      <x:c r="J3" s="26" t="str">
        <x:v>同类型最接近骏成科技：骏成科技涨停和重组事件更强，但近5日上涨46.94%、20日上涨71.53%且形成日收于20%涨停，行动日正常参与和剩余路径明显更差；跨类型相比安泰集团，金田股份的绝对相对强度、成交确认和流动性更强，因此优先。</x:v>
      </x:c>
      <x:c r="K3" s="24" t="n">
        <x:v>8</x:v>
      </x:c>
      <x:c r="L3" s="29" t="n">
        <x:v>0.05144193296960253</x:v>
      </x:c>
      <x:c r="M3" s="29" t="n">
        <x:v>0.05144193296960253</x:v>
      </x:c>
      <x:c r="N3" s="29" t="n">
        <x:v>0.06313328137178487</x:v>
      </x:c>
      <x:c r="O3" s="29" t="n">
        <x:v>-0.03273577552611062</x:v>
      </x:c>
      <x:c r="P3" s="14" t="str">
        <x:v>available</x:v>
      </x:c>
      <x:c r="Q3" s="15" t="b">
        <x:v>0</x:v>
      </x:c>
    </x:row>
    <x:row r="4" ht="69" customHeight="1">
      <x:c r="A4" s="17" t="n">
        <x:v>46254</x:v>
      </x:c>
      <x:c r="B4" s="17" t="n">
        <x:v>46253</x:v>
      </x:c>
      <x:c r="C4" s="20" t="n">
        <x:v>46254.37847222222</x:v>
      </x:c>
      <x:c r="D4" s="23" t="n">
        <x:v>3</x:v>
      </x:c>
      <x:c r="E4" s="12" t="str">
        <x:v>600408.SH</x:v>
      </x:c>
      <x:c r="F4" s="12" t="str">
        <x:v>安泰集团</x:v>
      </x:c>
      <x:c r="G4" s="25" t="str">
        <x:v>sector_diffusion</x:v>
      </x:c>
      <x:c r="H4" s="25" t="str">
        <x:v>焦炭板块形成日7只中6只上涨，等权上涨6.20%、上涨面85.71%，并有3只涨停，3日和5日也保持正收益与较高上涨面。安泰集团当日上涨7.32%，成交额约为20日均值3.78倍，收3.08元、日高3.15元；相比封板龙头，其60日价格位置约58.54%、近5日仅上涨6.57%，当前确认与剩余路径更均衡。</x:v>
      </x:c>
      <x:c r="I4" s="25" t="str">
        <x:v>公司预计2026年上半年归母净利润亏损约7500万元，钢铁焦化行业毛利仍不足以覆盖期间费用；板块强势也可能只是大跌日的短期资金轮动。行动日若板块广度消失或个股放量不涨，应立即放弃。</x:v>
      </x:c>
      <x:c r="J4" s="25" t="str">
        <x:v>同类型最接近宝泰隆、陕西黑猫和美锦能源均在形成日涨停，当前强度更高但行动日可参与性更差；安泰集团比山西焦化的形成日推进更强，又没有封板后的路径约束。跨类型相比老板电器，焦炭的形成日等权涨幅和上涨面更强，因此排在其前。</x:v>
      </x:c>
      <x:c r="K4" s="23" t="n">
        <x:v>8</x:v>
      </x:c>
      <x:c r="L4" s="28" t="n">
        <x:v>0.08771929824561409</x:v>
      </x:c>
      <x:c r="M4" s="28" t="n">
        <x:v>0.08771929824561409</x:v>
      </x:c>
      <x:c r="N4" s="28" t="n">
        <x:v>0.10175438596491237</x:v>
      </x:c>
      <x:c r="O4" s="28" t="n">
        <x:v>-0.05263157894736836</x:v>
      </x:c>
      <x:c r="P4" s="12" t="str">
        <x:v>available</x:v>
      </x:c>
      <x:c r="Q4" s="13" t="b">
        <x:v>0</x:v>
      </x:c>
    </x:row>
    <x:row r="5" ht="69" customHeight="1">
      <x:c r="A5" s="18" t="n">
        <x:v>46254</x:v>
      </x:c>
      <x:c r="B5" s="18" t="n">
        <x:v>46253</x:v>
      </x:c>
      <x:c r="C5" s="21" t="n">
        <x:v>46254.37847222222</x:v>
      </x:c>
      <x:c r="D5" s="24" t="n">
        <x:v>4</x:v>
      </x:c>
      <x:c r="E5" s="14" t="str">
        <x:v>002508.SZ</x:v>
      </x:c>
      <x:c r="F5" s="14" t="str">
        <x:v>老板电器</x:v>
      </x:c>
      <x:c r="G5" s="26" t="str">
        <x:v>sector_diffusion</x:v>
      </x:c>
      <x:c r="H5" s="26" t="str">
        <x:v>厨卫电器形成日等权上涨4.57%、上涨面77.78%，3日上涨面仍为77.78%，不是单股孤立上涨。老板电器当日上涨4.32%，成交额约为20日均值2.11倍，收16.43元、接近日高16.58元；近5日仅上涨2.43%、20日上涨5.66%，价格组合显示板块确认已经出现但个股尚未像亿田智能、万和电气那样封板和明显延伸。</x:v>
      </x:c>
      <x:c r="I5" s="26" t="str">
        <x:v>2026年一季度收入同比下降5.46%、归母净利润下降9.82%、扣非净利润下降17.47%，经营现金流也明显走弱；板块正贡献仍较多集中在少数大涨股。若行动日无法继续体现多成员扩散，低延伸本身不能成为入选理由。</x:v>
      </x:c>
      <x:c r="J5" s="26" t="str">
        <x:v>同类型最接近亿田智能和万和电气：两者形成日强度更高但均收于涨停，累计延伸和行动日参与风险更大；老板电器的流动性、非涨停确认和剩余路径更均衡。跨类型相比最后落选的骏成科技，老板电器绝对涨幅较弱，但板块广度更真实且行动日正常参与条件更好。</x:v>
      </x:c>
      <x:c r="K5" s="24" t="n">
        <x:v>8</x:v>
      </x:c>
      <x:c r="L5" s="29" t="n">
        <x:v>-0.03225806451612878</x:v>
      </x:c>
      <x:c r="M5" s="29" t="n">
        <x:v>0.008520998174071925</x:v>
      </x:c>
      <x:c r="N5" s="29" t="n">
        <x:v>0.017650639074863195</x:v>
      </x:c>
      <x:c r="O5" s="29" t="n">
        <x:v>-0.0346926354230066</x:v>
      </x:c>
      <x:c r="P5" s="14" t="str">
        <x:v>available</x:v>
      </x:c>
      <x:c r="Q5" s="15" t="b">
        <x:v>0</x:v>
      </x:c>
    </x:row>
    <x:row r="6" ht="69" customHeight="1">
      <x:c r="A6" s="17" t="n">
        <x:v>46255</x:v>
      </x:c>
      <x:c r="B6" s="17" t="n">
        <x:v>46254</x:v>
      </x:c>
      <x:c r="C6" s="20" t="n">
        <x:v>46255.381944444445</x:v>
      </x:c>
      <x:c r="D6" s="23" t="n">
        <x:v>1</x:v>
      </x:c>
      <x:c r="E6" s="12" t="str">
        <x:v>600601.SH</x:v>
      </x:c>
      <x:c r="F6" s="12" t="str">
        <x:v>方正科技</x:v>
      </x:c>
      <x:c r="G6" s="25" t="str">
        <x:v>company_catalyst</x:v>
      </x:c>
      <x:c r="H6" s="25" t="str">
        <x:v>2026年半年报显示收入37.00亿元（+72.89%）、归母净利润5.736亿元（+232.38%）、经营现金流5.118亿元，且PCB业务占主导，业务与增长传导直接。形成日仅涨0.16%、5日跌2.07%，而20日涨17.00%、60日仍跌5.52%，说明中期有识别但未处60日极端高位；20%目标约3.34倍ATR。行动日只在能正常参与且未出现明显跳空透支时保留命题。</x:v>
      </x:c>
      <x:c r="I6" s="25" t="str">
        <x:v>元件行业5日等权下跌0.80%、宽度仅32.84%，缺少板块扩散；静态估值约60倍PE、10倍PB，且近20日已有一段涨幅，业绩增长如果不能延续将迅速压缩剩余空间。</x:v>
      </x:c>
      <x:c r="J6" s="25" t="str">
        <x:v>相比同为电源设备报表增长候选的科泰电源，方正科技的利润和经营现金流绝对规模更大，20日价格识别也更强；科泰电源形成日和5日价格均下跌且估值更高。</x:v>
      </x:c>
      <x:c r="K6" s="23" t="n">
        <x:v>7</x:v>
      </x:c>
      <x:c r="L6" s="28" t="n">
        <x:v>0.04408163265306109</x:v>
      </x:c>
      <x:c r="M6" s="28" t="n">
        <x:v>0.04408163265306109</x:v>
      </x:c>
      <x:c r="N6" s="28" t="n">
        <x:v>0.059591836734693926</x:v>
      </x:c>
      <x:c r="O6" s="28" t="n">
        <x:v>-0.09551020408163269</x:v>
      </x:c>
      <x:c r="P6" s="12" t="str">
        <x:v>available</x:v>
      </x:c>
      <x:c r="Q6" s="13" t="b">
        <x:v>1</x:v>
      </x:c>
    </x:row>
    <x:row r="7" ht="69" customHeight="1">
      <x:c r="A7" s="18" t="n">
        <x:v>46255</x:v>
      </x:c>
      <x:c r="B7" s="18" t="n">
        <x:v>46254</x:v>
      </x:c>
      <x:c r="C7" s="21" t="n">
        <x:v>46255.381944444445</x:v>
      </x:c>
      <x:c r="D7" s="24" t="n">
        <x:v>2</x:v>
      </x:c>
      <x:c r="E7" s="14" t="str">
        <x:v>603993.SH</x:v>
      </x:c>
      <x:c r="F7" s="14" t="str">
        <x:v>洛阳钼业</x:v>
      </x:c>
      <x:c r="G7" s="26" t="str">
        <x:v>company_catalyst</x:v>
      </x:c>
      <x:c r="H7" s="26" t="str">
        <x:v>2026年半年报显示收入1353.20亿元（+42.78%）、归母净利润161.52亿元（+86.27%）、经营现金流163.34亿元，增长与现金回收同向且绝对规模最强。形成日涨1.50%，但5日、20日仍跌0.76%和8.79%，60日位置0.305，静态PE约14倍，尚未出现价格透支；20%目标约4.25倍ATR。命题依赖强业绩对中低位价格的再定价，不依赖市场普涨。</x:v>
      </x:c>
      <x:c r="I7" s="26" t="str">
        <x:v>营收中矿产贸易规模大但毛利贡献明显低于矿山采掘加工，业绩对铜钼等金属价格与产量的敏感度高；当前20日价格趋势仍向下，报表增长不必然立即转化为股价趋势。</x:v>
      </x:c>
      <x:c r="J7" s="26" t="str">
        <x:v>相比北方稀土，洛阳钼业的归母净利润和经营现金流绝对规模更大、估值更低，形成日价格为正；北方稀土虽然增速更高，但形成日跌3.14%且行业5日宽度仅21.43%。</x:v>
      </x:c>
      <x:c r="K7" s="24" t="n">
        <x:v>7</x:v>
      </x:c>
      <x:c r="L7" s="29" t="n">
        <x:v>0.036432843936922144</x:v>
      </x:c>
      <x:c r="M7" s="29" t="n">
        <x:v>0.06525285481239806</x:v>
      </x:c>
      <x:c r="N7" s="29" t="n">
        <x:v>0.08700380641653083</x:v>
      </x:c>
      <x:c r="O7" s="29" t="n">
        <x:v>-0.011419249592169667</x:v>
      </x:c>
      <x:c r="P7" s="14" t="str">
        <x:v>available</x:v>
      </x:c>
      <x:c r="Q7" s="15" t="b">
        <x:v>1</x:v>
      </x:c>
    </x:row>
    <x:row r="8" ht="69" customHeight="1">
      <x:c r="A8" s="17" t="n">
        <x:v>46255</x:v>
      </x:c>
      <x:c r="B8" s="17" t="n">
        <x:v>46254</x:v>
      </x:c>
      <x:c r="C8" s="20" t="n">
        <x:v>46255.381944444445</x:v>
      </x:c>
      <x:c r="D8" s="23" t="n">
        <x:v>3</x:v>
      </x:c>
      <x:c r="E8" s="12" t="str">
        <x:v>603969.SH</x:v>
      </x:c>
      <x:c r="F8" s="12" t="str">
        <x:v>银龙股份</x:v>
      </x:c>
      <x:c r="G8" s="25" t="str">
        <x:v>independent_price_anomaly</x:v>
      </x:c>
      <x:c r="H8" s="25" t="str">
        <x:v>价格在20日下跌2.17%、60日下跌10.14%、60日位置0.309的低位，5日转为上涨2.85%并跑赢通用设备行业4.31个百分点，没有涨停贡献，符合初始激活而非高位追涨。2026年半年报进一步显示收入增7.96%、归母净利润增40.35%，经营现金流0.479亿元，上年同期接近零，为低位价格异常提供公司侧解释。</x:v>
      </x:c>
      <x:c r="I8" s="25" t="str">
        <x:v>initial_activation只是暂定场景，5日价格增量仍小，对应20%目标需约5.09倍ATR；通用设备行业5日等权下跌1.46%、宽度仅32.38%，尚没有行业扩散配合。</x:v>
      </x:c>
      <x:c r="J8" s="25" t="str">
        <x:v>相比中谷物流，银龙股份的行业比较完整，价格位置更低，且有同期利润和经营现金流改善作为独立支撑；中谷物流虽趋势更强，但行业比较受限且没有找到新公司增量。</x:v>
      </x:c>
      <x:c r="K8" s="23" t="n">
        <x:v>7</x:v>
      </x:c>
      <x:c r="L8" s="28" t="n">
        <x:v>0.07927677329624472</x:v>
      </x:c>
      <x:c r="M8" s="28" t="n">
        <x:v>0.07927677329624472</x:v>
      </x:c>
      <x:c r="N8" s="28" t="n">
        <x:v>0.08762169680111254</x:v>
      </x:c>
      <x:c r="O8" s="28" t="n">
        <x:v>-0.019471488178025242</x:v>
      </x:c>
      <x:c r="P8" s="12" t="str">
        <x:v>available</x:v>
      </x:c>
      <x:c r="Q8" s="13" t="b">
        <x:v>1</x:v>
      </x:c>
    </x:row>
    <x:row r="9" ht="69" customHeight="1">
      <x:c r="A9" s="18" t="n">
        <x:v>46255</x:v>
      </x:c>
      <x:c r="B9" s="18" t="n">
        <x:v>46254</x:v>
      </x:c>
      <x:c r="C9" s="21" t="n">
        <x:v>46255.381944444445</x:v>
      </x:c>
      <x:c r="D9" s="24" t="n">
        <x:v>4</x:v>
      </x:c>
      <x:c r="E9" s="14" t="str">
        <x:v>600737.SH</x:v>
      </x:c>
      <x:c r="F9" s="14" t="str">
        <x:v>中粮糖业</x:v>
      </x:c>
      <x:c r="G9" s="26" t="str">
        <x:v>sector_diffusion</x:v>
      </x:c>
      <x:c r="H9" s="26" t="str">
        <x:v>农产品加工行业5日等权上涨5.57%、宽度61.54%，20日等权上涨16.52%、宽度96.15%，不是少数股拉动。中粮糖业5日涨25.10%，超行业19.53个百分点，5日连续性1.0、量价效率0.882；涨停收益贡猦41.28%，但较新涨停后的非涨停日仍推进，故保留为有扩散支撑的趋势延续，而不是单日脉冲。</x:v>
      </x:c>
      <x:c r="I9" s="26" t="str">
        <x:v>5日和20日已上涨25.10%和29.81%并处60日高位，20%目标仍需约3.91倍ATR；近期涨停贡猦使行动日跳空、再涨停或快速冲高回落的不可参与风险显著高于其他入选股。</x:v>
      </x:c>
      <x:c r="J9" s="26" t="str">
        <x:v>相比道道全，中粮糖业的5日相对行业增量和连续性明显更强；道道全虽然无涨停贡献、延展较低，但半年归母净利润下降90.68%且经营现金流转负，独立增量不足。</x:v>
      </x:c>
      <x:c r="K9" s="24" t="n">
        <x:v>7</x:v>
      </x:c>
      <x:c r="L9" s="29" t="n">
        <x:v>-0.0240103828682674</x:v>
      </x:c>
      <x:c r="M9" s="29" t="n">
        <x:v>0.040233614536015816</x:v>
      </x:c>
      <x:c r="N9" s="29" t="n">
        <x:v>0.07073329007138218</x:v>
      </x:c>
      <x:c r="O9" s="29" t="n">
        <x:v>-0.07787151200519127</x:v>
      </x:c>
      <x:c r="P9" s="14" t="str">
        <x:v>available</x:v>
      </x:c>
      <x:c r="Q9" s="15" t="b">
        <x:v>1</x:v>
      </x:c>
    </x:row>
    <x:row r="10" ht="69" customHeight="1">
      <x:c r="A10" s="17" t="n">
        <x:v>46258</x:v>
      </x:c>
      <x:c r="B10" s="17" t="n">
        <x:v>46255</x:v>
      </x:c>
      <x:c r="C10" s="20" t="n">
        <x:v>46257.37849537037</x:v>
      </x:c>
      <x:c r="D10" s="23" t="n">
        <x:v>1</x:v>
      </x:c>
      <x:c r="E10" s="12" t="str">
        <x:v>600583.SH</x:v>
      </x:c>
      <x:c r="F10" s="12" t="str">
        <x:v>海油工程</x:v>
      </x:c>
      <x:c r="G10" s="25" t="str">
        <x:v>sector_diffusion</x:v>
      </x:c>
      <x:c r="H10" s="25" t="str">
        <x:v>油服工程形成四只领导股票的同步走强组合，海油工程是最强成员，价格、成交和半年报经营基础相互支持。</x:v>
      </x:c>
      <x:c r="I10" s="25" t="str">
        <x:v>股价已接近60日高点，半年利润基本没有增长，若板块轮动结束会放大回撤。</x:v>
      </x:c>
      <x:c r="J10" s="25" t="str">
        <x:v>相较洪通燃气，油服工程板块5日相对强度和成交份额增加更明显，海油工程半年利润稳定，而洪通燃气一季度利润明显下降。</x:v>
      </x:c>
      <x:c r="K10" s="23" t="n">
        <x:v>6</x:v>
      </x:c>
      <x:c r="L10" s="28" t="n">
        <x:v>0.026666666666666616</x:v>
      </x:c>
      <x:c r="M10" s="28" t="n">
        <x:v>0.026666666666666616</x:v>
      </x:c>
      <x:c r="N10" s="28" t="n">
        <x:v>0.0366666666666664</x:v>
      </x:c>
      <x:c r="O10" s="28" t="n">
        <x:v>-0.018333333333333424</x:v>
      </x:c>
      <x:c r="P10" s="12" t="str">
        <x:v>available</x:v>
      </x:c>
      <x:c r="Q10" s="13" t="b">
        <x:v>1</x:v>
      </x:c>
    </x:row>
    <x:row r="11" ht="69" customHeight="1">
      <x:c r="A11" s="18" t="n">
        <x:v>46258</x:v>
      </x:c>
      <x:c r="B11" s="18" t="n">
        <x:v>46255</x:v>
      </x:c>
      <x:c r="C11" s="21" t="n">
        <x:v>46257.37849537037</x:v>
      </x:c>
      <x:c r="D11" s="24" t="n">
        <x:v>2</x:v>
      </x:c>
      <x:c r="E11" s="14" t="str">
        <x:v>600980.SH</x:v>
      </x:c>
      <x:c r="F11" s="14" t="str">
        <x:v>北矿科技</x:v>
      </x:c>
      <x:c r="G11" s="26" t="str">
        <x:v>independent_price_anomaly</x:v>
      </x:c>
      <x:c r="H11" s="26" t="str">
        <x:v>弱市场中温和跑赢市场和行业、成交同步增加，半年报收入利润增长且经营现金流为正，价格路径比快速拉升股更完整。</x:v>
      </x:c>
      <x:c r="I11" s="26" t="str">
        <x:v>20日已经上涨18.88%，正式半年报只是此前业绩快报的确认，缺少新的公司催化。</x:v>
      </x:c>
      <x:c r="J11" s="26" t="str">
        <x:v>相较尚太科技，北矿科技近期涨幅和成交放大更温和，半年利润增长、现金流为正；尚太科技利润下降且经营现金流大额流出。</x:v>
      </x:c>
      <x:c r="K11" s="24" t="n">
        <x:v>6</x:v>
      </x:c>
      <x:c r="L11" s="29" t="n">
        <x:v>-0.008461921353907331</x:v>
      </x:c>
      <x:c r="M11" s="29" t="n">
        <x:v>0.011946241911398703</x:v>
      </x:c>
      <x:c r="N11" s="29" t="n">
        <x:v>0.018914883026381224</x:v>
      </x:c>
      <x:c r="O11" s="29" t="n">
        <x:v>-0.024390243902438824</x:v>
      </x:c>
      <x:c r="P11" s="14" t="str">
        <x:v>available</x:v>
      </x:c>
      <x:c r="Q11" s="15" t="b">
        <x:v>1</x:v>
      </x:c>
    </x:row>
    <x:row r="12" ht="69" customHeight="1">
      <x:c r="A12" s="17" t="n">
        <x:v>46259</x:v>
      </x:c>
      <x:c r="B12" s="17" t="n">
        <x:v>46258</x:v>
      </x:c>
      <x:c r="C12" s="20" t="n">
        <x:v>46259.37847222222</x:v>
      </x:c>
      <x:c r="D12" s="23" t="n">
        <x:v>1</x:v>
      </x:c>
      <x:c r="E12" s="12" t="str">
        <x:v>000690.SZ</x:v>
      </x:c>
      <x:c r="F12" s="12" t="str">
        <x:v>宝新能源</x:v>
      </x:c>
      <x:c r="G12" s="25" t="str">
        <x:v>independent_price_anomaly</x:v>
      </x:c>
      <x:c r="H12" s="25" t="str">
        <x:v>在5日弱市场中连续跑赢市场和电力行业，形成日成交明显放大且价量推进效率高，20日涨幅仍低，短期路径相对完整。</x:v>
      </x:c>
      <x:c r="I12" s="25" t="str">
        <x:v>形成日单日上涨4.82%、成交放大至2.27倍，若次日没有承接，可能只是一次短促脉冲；一季度业绩增速也不高。</x:v>
      </x:c>
      <x:c r="J12" s="25" t="str">
        <x:v>相较永新股份，宝新能源5日相对市场和行业的优势更大，成交放大更明显，价量推进效率0.94也高于永新股份的0.67。</x:v>
      </x:c>
      <x:c r="K12" s="23" t="n">
        <x:v>5</x:v>
      </x:c>
      <x:c r="L12" s="28" t="n">
        <x:v>-0.00809716599190291</x:v>
      </x:c>
      <x:c r="M12" s="28" t="n">
        <x:v>-0.002024291497975894</x:v>
      </x:c>
      <x:c r="N12" s="28" t="n">
        <x:v>0.00809716599190291</x:v>
      </x:c>
      <x:c r="O12" s="28" t="n">
        <x:v>-0.022267206477732948</x:v>
      </x:c>
      <x:c r="P12" s="12" t="str">
        <x:v>available</x:v>
      </x:c>
      <x:c r="Q12" s="13" t="b">
        <x:v>1</x:v>
      </x:c>
    </x:row>
    <x:row r="13" ht="69" customHeight="1">
      <x:c r="A13" s="18" t="n">
        <x:v>46259</x:v>
      </x:c>
      <x:c r="B13" s="18" t="n">
        <x:v>46258</x:v>
      </x:c>
      <x:c r="C13" s="21" t="n">
        <x:v>46259.37847222222</x:v>
      </x:c>
      <x:c r="D13" s="24" t="n">
        <x:v>2</x:v>
      </x:c>
      <x:c r="E13" s="14" t="str">
        <x:v>601998.SH</x:v>
      </x:c>
      <x:c r="F13" s="14" t="str">
        <x:v>中信银行</x:v>
      </x:c>
      <x:c r="G13" s="26" t="str">
        <x:v>sector_diffusion</x:v>
      </x:c>
      <x:c r="H13" s="26" t="str">
        <x:v>股份制银行9只成分股3日和5日全部上涨、成交份额增加，中信银行是组内最强成员，个股相对强度和成交均已确认。</x:v>
      </x:c>
      <x:c r="I13" s="26" t="str">
        <x:v>5日和20日均已上涨约11%，价格位于60日区间高点，并出现趋势过热提示，若银行轮动结束会快速失去优势。</x:v>
      </x:c>
      <x:c r="J13" s="26" t="str">
        <x:v>相较渝农商行，股份制银行板块5日相对市场收益和成交份额增加更明显，中信银行5日相对行业强度和成交放大也更高。</x:v>
      </x:c>
      <x:c r="K13" s="24" t="n">
        <x:v>5</x:v>
      </x:c>
      <x:c r="L13" s="29" t="n">
        <x:v>0.03146853146853146</x:v>
      </x:c>
      <x:c r="M13" s="29" t="n">
        <x:v>0.03146853146853146</x:v>
      </x:c>
      <x:c r="N13" s="29" t="n">
        <x:v>0.04312354312354305</x:v>
      </x:c>
      <x:c r="O13" s="29" t="n">
        <x:v>-0.01631701631701632</x:v>
      </x:c>
      <x:c r="P13" s="14" t="str">
        <x:v>available</x:v>
      </x:c>
      <x:c r="Q13" s="15" t="b">
        <x:v>1</x:v>
      </x:c>
    </x:row>
    <x:row r="14" ht="69" customHeight="1">
      <x:c r="A14" s="17" t="n">
        <x:v>46260</x:v>
      </x:c>
      <x:c r="B14" s="17" t="n">
        <x:v>46259</x:v>
      </x:c>
      <x:c r="C14" s="20" t="n">
        <x:v>46260.37847222222</x:v>
      </x:c>
      <x:c r="D14" s="23" t="n">
        <x:v>1</x:v>
      </x:c>
      <x:c r="E14" s="12" t="str">
        <x:v>002366.SZ</x:v>
      </x:c>
      <x:c r="F14" s="12" t="str">
        <x:v>融发核电</x:v>
      </x:c>
      <x:c r="G14" s="25" t="str">
        <x:v>company_catalyst</x:v>
      </x:c>
      <x:c r="H14" s="25" t="str">
        <x:v>盘前首次披露主营核电装备直接相关的2.0052亿元中标通知；只在原行动窗口首个正常可交易时段出现健康成交和相对强度时成立，正式合同未签署。</x:v>
      </x:c>
      <x:c r="I14" s="25" t="str">
        <x:v>中标通知并非正式合同，半年业绩预告仍亏损，执行及利润贡献不确定。</x:v>
      </x:c>
      <x:c r="J14" s="25" t="str">
        <x:v>相较艾可蓝，融发核电的公告与既有核电装备主营直接相连；艾可蓝的计算服务合同金额虽大，但与现有尾气后处理主营联系间接。</x:v>
      </x:c>
      <x:c r="K14" s="23" t="n">
        <x:v>4</x:v>
      </x:c>
      <x:c r="L14" s="28" t="n">
        <x:v>-0.019230769230769273</x:v>
      </x:c>
      <x:c r="M14" s="28" t="n">
        <x:v>0.008012820512820484</x:v>
      </x:c>
      <x:c r="N14" s="28" t="n">
        <x:v>0.033653846153846256</x:v>
      </x:c>
      <x:c r="O14" s="28" t="n">
        <x:v>-0.04166666666666652</x:v>
      </x:c>
      <x:c r="P14" s="12" t="str">
        <x:v>available</x:v>
      </x:c>
      <x:c r="Q14" s="13" t="b">
        <x:v>1</x:v>
      </x:c>
    </x:row>
    <x:row r="15" ht="69" customHeight="1">
      <x:c r="A15" s="18" t="n">
        <x:v>46260</x:v>
      </x:c>
      <x:c r="B15" s="18" t="n">
        <x:v>46259</x:v>
      </x:c>
      <x:c r="C15" s="21" t="n">
        <x:v>46260.37847222222</x:v>
      </x:c>
      <x:c r="D15" s="24" t="n">
        <x:v>2</x:v>
      </x:c>
      <x:c r="E15" s="14" t="str">
        <x:v>002274.SZ</x:v>
      </x:c>
      <x:c r="F15" s="14" t="str">
        <x:v>华昌化工</x:v>
      </x:c>
      <x:c r="G15" s="26" t="str">
        <x:v>independent_price_anomaly</x:v>
      </x:c>
      <x:c r="H15" s="26" t="str">
        <x:v>截至形成日的多日相对强度、3.53倍成交放大和有效突破共同确认独立需求，且半年利润与现金流改善提供锚；半年报仅作确认，不重复当催化。</x:v>
      </x:c>
      <x:c r="I15" s="26" t="str">
        <x:v>财务增量已在7月预告中披露，价格处于近期高位，后续若成交衰减则独立需求判断会弱化。</x:v>
      </x:c>
      <x:c r="J15" s="26" t="str">
        <x:v>相较同飞股份，华昌化工的确认分布在多个交易日、距20%路径约7.50个ATR；同飞股份主要依赖形成日单日脉冲且余量约2.76个ATR。</x:v>
      </x:c>
      <x:c r="K15" s="24" t="n">
        <x:v>4</x:v>
      </x:c>
      <x:c r="L15" s="29"/>
      <x:c r="M15" s="29"/>
      <x:c r="N15" s="29"/>
      <x:c r="O15" s="29"/>
      <x:c r="P15" s="14" t="str">
        <x:v>no_reliable_entry_price</x:v>
      </x:c>
      <x:c r="Q15" s="15" t="b">
        <x:v>1</x:v>
      </x:c>
    </x:row>
    <x:row r="16" ht="69" customHeight="1">
      <x:c r="A16" s="17" t="n">
        <x:v>46260</x:v>
      </x:c>
      <x:c r="B16" s="17" t="n">
        <x:v>46259</x:v>
      </x:c>
      <x:c r="C16" s="20" t="n">
        <x:v>46260.37847222222</x:v>
      </x:c>
      <x:c r="D16" s="23" t="n">
        <x:v>3</x:v>
      </x:c>
      <x:c r="E16" s="12" t="str">
        <x:v>603408.SH</x:v>
      </x:c>
      <x:c r="F16" s="12" t="str">
        <x:v>建霖家居</x:v>
      </x:c>
      <x:c r="G16" s="25" t="str">
        <x:v>independent_price_anomaly</x:v>
      </x:c>
      <x:c r="H16" s="25" t="str">
        <x:v>形成日前5日路径效率高、成交放大、同时跑赢市场和行业并完成无涨停贡献的有效突破。</x:v>
      </x:c>
      <x:c r="I16" s="25" t="str">
        <x:v>一季度利润同比下降23.56%且经营现金流走弱，价格趋势尚缺利润兑现。</x:v>
      </x:c>
      <x:c r="J16" s="25" t="str">
        <x:v>相较同飞股份，建霖家居的5日路径更连续、效率更高且没有单日13%以上脉冲主导，剩余波动率路径也更充足。</x:v>
      </x:c>
      <x:c r="K16" s="23" t="n">
        <x:v>4</x:v>
      </x:c>
      <x:c r="L16" s="28" t="n">
        <x:v>0.03415061295971977</x:v>
      </x:c>
      <x:c r="M16" s="28" t="n">
        <x:v>0.03415061295971977</x:v>
      </x:c>
      <x:c r="N16" s="28" t="n">
        <x:v>0.0507880910683014</x:v>
      </x:c>
      <x:c r="O16" s="28" t="n">
        <x:v>-0.014010507880910628</x:v>
      </x:c>
      <x:c r="P16" s="12" t="str">
        <x:v>available</x:v>
      </x:c>
      <x:c r="Q16" s="13" t="b">
        <x:v>1</x:v>
      </x:c>
    </x:row>
    <x:row r="17" ht="69" customHeight="1">
      <x:c r="A17" s="18" t="n">
        <x:v>46260</x:v>
      </x:c>
      <x:c r="B17" s="18" t="n">
        <x:v>46259</x:v>
      </x:c>
      <x:c r="C17" s="21" t="n">
        <x:v>46260.37847222222</x:v>
      </x:c>
      <x:c r="D17" s="24" t="n">
        <x:v>4</x:v>
      </x:c>
      <x:c r="E17" s="14" t="str">
        <x:v>300473.SZ</x:v>
      </x:c>
      <x:c r="F17" s="14" t="str">
        <x:v>德尔股份</x:v>
      </x:c>
      <x:c r="G17" s="26" t="str">
        <x:v>independent_price_anomaly</x:v>
      </x:c>
      <x:c r="H17" s="26" t="str">
        <x:v>3日和5日相对市场、相对行业强度与约2.95倍成交放大共同成立，且一季度利润和经营现金流改善，价格仍远离长期前高。</x:v>
      </x:c>
      <x:c r="I17" s="26" t="str">
        <x:v>涨幅集中在最近3日，若汽车零部件同行不跟随，独立强度可能快速衰减。</x:v>
      </x:c>
      <x:c r="J17" s="26" t="str">
        <x:v>相较飞龙股份，德尔股份不依赖涨停贡献、距20%路径更远，且一季度利润改善；飞龙股份半年利润同比下降且5日涨幅约46.1%来自涨停日。</x:v>
      </x:c>
      <x:c r="K17" s="24" t="n">
        <x:v>4</x:v>
      </x:c>
      <x:c r="L17" s="29" t="n">
        <x:v>0.12140833670578721</x:v>
      </x:c>
      <x:c r="M17" s="29" t="n">
        <x:v>0.12140833670578721</x:v>
      </x:c>
      <x:c r="N17" s="29" t="n">
        <x:v>0.18292189397005254</x:v>
      </x:c>
      <x:c r="O17" s="29" t="n">
        <x:v>-0.022258195062727637</x:v>
      </x:c>
      <x:c r="P17" s="14" t="str">
        <x:v>available</x:v>
      </x:c>
      <x:c r="Q17" s="15" t="b">
        <x:v>1</x:v>
      </x:c>
    </x:row>
    <x:row r="18" ht="69" customHeight="1">
      <x:c r="A18" s="17" t="n">
        <x:v>46261</x:v>
      </x:c>
      <x:c r="B18" s="17" t="n">
        <x:v>46260</x:v>
      </x:c>
      <x:c r="C18" s="20" t="n">
        <x:v>46261.37847222222</x:v>
      </x:c>
      <x:c r="D18" s="23" t="n">
        <x:v>1</x:v>
      </x:c>
      <x:c r="E18" s="12" t="str">
        <x:v>300107.SZ</x:v>
      </x:c>
      <x:c r="F18" s="12" t="str">
        <x:v>建新股份</x:v>
      </x:c>
      <x:c r="G18" s="25" t="str">
        <x:v>independent_price_anomaly</x:v>
      </x:c>
      <x:c r="H18" s="25" t="str">
        <x:v>多日跑赢市场、3.32倍成交放大和无涨停贡献的有效突破共同确认独立需求；原行动窗口只在正常双向成交且放量仍能推动收盘时成立。</x:v>
      </x:c>
      <x:c r="I18" s="25" t="str">
        <x:v>净利润高增可能含低基数，股价已到60日区间高点，放量不进会很快削弱路径。</x:v>
      </x:c>
      <x:c r="J18" s="25" t="str">
        <x:v>相比最近替代股，建新股份的3日和5日增量更连续、形成日完成真实突破，且经营现金流和负债约束更稳。</x:v>
      </x:c>
      <x:c r="K18" s="23" t="n">
        <x:v>3</x:v>
      </x:c>
      <x:c r="L18" s="28" t="n">
        <x:v>0.025000000000000133</x:v>
      </x:c>
      <x:c r="M18" s="28" t="n">
        <x:v>0.025000000000000133</x:v>
      </x:c>
      <x:c r="N18" s="28" t="n">
        <x:v>0.0352941176470587</x:v>
      </x:c>
      <x:c r="O18" s="28" t="n">
        <x:v>-0.014705882352941235</x:v>
      </x:c>
      <x:c r="P18" s="12" t="str">
        <x:v>available</x:v>
      </x:c>
      <x:c r="Q18" s="13" t="b">
        <x:v>1</x:v>
      </x:c>
    </x:row>
    <x:row r="19" ht="69" customHeight="1">
      <x:c r="A19" s="18" t="n">
        <x:v>46261</x:v>
      </x:c>
      <x:c r="B19" s="18" t="n">
        <x:v>46260</x:v>
      </x:c>
      <x:c r="C19" s="21" t="n">
        <x:v>46261.37847222222</x:v>
      </x:c>
      <x:c r="D19" s="24" t="n">
        <x:v>2</x:v>
      </x:c>
      <x:c r="E19" s="14" t="str">
        <x:v>301289.SZ</x:v>
      </x:c>
      <x:c r="F19" s="14" t="str">
        <x:v>国缆检测</x:v>
      </x:c>
      <x:c r="G19" s="26" t="str">
        <x:v>independent_price_anomaly</x:v>
      </x:c>
      <x:c r="H19" s="26" t="str">
        <x:v>3日和5日持续跑赢市场，5.16倍成交仍形成高效率收盘，且半年收入利润现金流均为正；原行动窗口需看到成交正常化后相对强势不消失。</x:v>
      </x:c>
      <x:c r="I19" s="26" t="str">
        <x:v>形成日单日上涨6.45%且成交放大很快，若高成交随后不再推动收盘，可能只是短促需求。</x:v>
      </x:c>
      <x:c r="J19" s="26" t="str">
        <x:v>相比最近替代股，国缆检测的成交确认更强、经营现金流与负债更稳，20日路径也没有明显透支。</x:v>
      </x:c>
      <x:c r="K19" s="24" t="n">
        <x:v>3</x:v>
      </x:c>
      <x:c r="L19" s="29" t="n">
        <x:v>-0.024310831343607564</x:v>
      </x:c>
      <x:c r="M19" s="29" t="n">
        <x:v>0.012589537660082417</x:v>
      </x:c>
      <x:c r="N19" s="29" t="n">
        <x:v>0.012589537660082417</x:v>
      </x:c>
      <x:c r="O19" s="29" t="n">
        <x:v>-0.03820273496852611</x:v>
      </x:c>
      <x:c r="P19" s="14" t="str">
        <x:v>available</x:v>
      </x:c>
      <x:c r="Q19" s="15" t="b">
        <x:v>1</x:v>
      </x:c>
    </x:row>
    <x:row r="20" ht="69" customHeight="1">
      <x:c r="A20" s="17" t="n">
        <x:v>46261</x:v>
      </x:c>
      <x:c r="B20" s="17" t="n">
        <x:v>46260</x:v>
      </x:c>
      <x:c r="C20" s="20" t="n">
        <x:v>46261.37847222222</x:v>
      </x:c>
      <x:c r="D20" s="23" t="n">
        <x:v>3</x:v>
      </x:c>
      <x:c r="E20" s="12" t="str">
        <x:v>300082.SZ</x:v>
      </x:c>
      <x:c r="F20" s="12" t="str">
        <x:v>奥克股份</x:v>
      </x:c>
      <x:c r="G20" s="25" t="str">
        <x:v>independent_price_anomaly</x:v>
      </x:c>
      <x:c r="H20" s="25" t="str">
        <x:v>3日和5日相对市场强势、4.34倍成交和接近1的价量效率共同确认需求，且不依赖涨停；原行动窗口要求快速上涨后仍有正常承接。</x:v>
      </x:c>
      <x:c r="I20" s="25" t="str">
        <x:v>半年经营现金流仍为负且利润增速含低基数，5日已上涨18.40%，放量停滞会迅速收窄空间。</x:v>
      </x:c>
      <x:c r="J20" s="25" t="str">
        <x:v>相比最近替代股，奥克股份的多日价格增量、成交推进和无涨停路径更完整，虽现金流风险更高但确认强度也明显更强。</x:v>
      </x:c>
      <x:c r="K20" s="23" t="n">
        <x:v>3</x:v>
      </x:c>
      <x:c r="L20" s="28" t="n">
        <x:v>-0.030681818181818366</x:v>
      </x:c>
      <x:c r="M20" s="28" t="n">
        <x:v>-0.017045454545454586</x:v>
      </x:c>
      <x:c r="N20" s="28" t="n">
        <x:v>0.004545454545454408</x:v>
      </x:c>
      <x:c r="O20" s="28" t="n">
        <x:v>-0.03749999999999998</x:v>
      </x:c>
      <x:c r="P20" s="12" t="str">
        <x:v>available</x:v>
      </x:c>
      <x:c r="Q20" s="13" t="b">
        <x:v>1</x:v>
      </x:c>
    </x:row>
    <x:row r="21" ht="69" customHeight="1">
      <x:c r="A21" s="18" t="n">
        <x:v>46261</x:v>
      </x:c>
      <x:c r="B21" s="18" t="n">
        <x:v>46260</x:v>
      </x:c>
      <x:c r="C21" s="21" t="n">
        <x:v>46261.37847222222</x:v>
      </x:c>
      <x:c r="D21" s="24" t="n">
        <x:v>4</x:v>
      </x:c>
      <x:c r="E21" s="14" t="str">
        <x:v>603993.SH</x:v>
      </x:c>
      <x:c r="F21" s="14" t="str">
        <x:v>洛阳钼业</x:v>
      </x:c>
      <x:c r="G21" s="26" t="str">
        <x:v>independent_price_anomaly</x:v>
      </x:c>
      <x:c r="H21" s="26" t="str">
        <x:v>3日和5日持续跑赢市场，成交增加仍能推动收盘，20日累计涨幅仅2.67%，半年收入利润增长提供经营锚；原行动窗口需避免单日高开透支。</x:v>
      </x:c>
      <x:c r="I21" s="26" t="str">
        <x:v>形成日单日上涨6.35%，确认开始向单日集中，商品价格变化和约52%的负债率会放大波动。</x:v>
      </x:c>
      <x:c r="J21" s="26" t="str">
        <x:v>相比最近替代股，洛阳钼业的20日累计涨幅更低、半年经营锚更扎实，虽然短期确认不如前三只强，但剩余路径更完整。</x:v>
      </x:c>
      <x:c r="K21" s="24" t="n">
        <x:v>3</x:v>
      </x:c>
      <x:c r="L21" s="29" t="n">
        <x:v>-0.008840353614144703</x:v>
      </x:c>
      <x:c r="M21" s="29" t="n">
        <x:v>0.01456058242329683</x:v>
      </x:c>
      <x:c r="N21" s="29" t="n">
        <x:v>0.026001040041601753</x:v>
      </x:c>
      <x:c r="O21" s="29" t="n">
        <x:v>-0.040561622464898694</x:v>
      </x:c>
      <x:c r="P21" s="14" t="str">
        <x:v>available</x:v>
      </x:c>
      <x:c r="Q21" s="15" t="b">
        <x:v>1</x:v>
      </x:c>
    </x:row>
    <x:row r="22" ht="69" customHeight="1">
      <x:c r="A22" s="17" t="n">
        <x:v>46262</x:v>
      </x:c>
      <x:c r="B22" s="17" t="n">
        <x:v>46261</x:v>
      </x:c>
      <x:c r="C22" s="20" t="n">
        <x:v>46262.37847222222</x:v>
      </x:c>
      <x:c r="D22" s="23" t="n">
        <x:v>1</x:v>
      </x:c>
      <x:c r="E22" s="12" t="str">
        <x:v>003816.SZ</x:v>
      </x:c>
      <x:c r="F22" s="12" t="str">
        <x:v>中国广核</x:v>
      </x:c>
      <x:c r="G22" s="25" t="str">
        <x:v>independent_price_anomaly</x:v>
      </x:c>
      <x:c r="H22" s="25" t="str">
        <x:v>20日几乎未上涨的基础上，3日和5日持续跑赢市场，1.65倍成交仍形成高效率收盘；原行动条件要求正常双向成交且相对强势不消失。</x:v>
      </x:c>
      <x:c r="I22" s="25" t="str">
        <x:v>一季度收入和归母净利润同比下降，价格需求尚无经营增量配合。</x:v>
      </x:c>
      <x:c r="J22" s="25" t="str">
        <x:v>相比金岭矿业，中国广核没有处于60日突破高点，20日累计涨幅更低、波动路径更宽。</x:v>
      </x:c>
      <x:c r="K22" s="23" t="n">
        <x:v>2</x:v>
      </x:c>
      <x:c r="L22" s="28" t="n">
        <x:v>0.023980815347721673</x:v>
      </x:c>
      <x:c r="M22" s="28" t="n">
        <x:v>0.023980815347721673</x:v>
      </x:c>
      <x:c r="N22" s="28" t="n">
        <x:v>0.031175059952038175</x:v>
      </x:c>
      <x:c r="O22" s="28" t="n">
        <x:v>-0.0023980815347722784</x:v>
      </x:c>
      <x:c r="P22" s="12" t="str">
        <x:v>available</x:v>
      </x:c>
      <x:c r="Q22" s="13" t="b">
        <x:v>1</x:v>
      </x:c>
    </x:row>
    <x:row r="23" ht="69" customHeight="1">
      <x:c r="A23" s="18" t="n">
        <x:v>46262</x:v>
      </x:c>
      <x:c r="B23" s="18" t="n">
        <x:v>46261</x:v>
      </x:c>
      <x:c r="C23" s="21" t="n">
        <x:v>46262.37847222222</x:v>
      </x:c>
      <x:c r="D23" s="24" t="n">
        <x:v>2</x:v>
      </x:c>
      <x:c r="E23" s="14" t="str">
        <x:v>000655.SZ</x:v>
      </x:c>
      <x:c r="F23" s="14" t="str">
        <x:v>金岭矿业</x:v>
      </x:c>
      <x:c r="G23" s="26" t="str">
        <x:v>independent_price_anomaly</x:v>
      </x:c>
      <x:c r="H23" s="26" t="str">
        <x:v>无涨停依赖的60日突破、连续相对强势、1.61倍成交和价量效率1同时成立；原行动条件要求突破后放量仍能推进收盘。</x:v>
      </x:c>
      <x:c r="I23" s="26" t="str">
        <x:v>一季度归母净利润同比下降28.46%，且突破处于60日价格高点。</x:v>
      </x:c>
      <x:c r="J23" s="26" t="str">
        <x:v>相比中国广核，金岭矿业完成了更明确的价格突破且2025年利润增长，但高位风险更高。</x:v>
      </x:c>
      <x:c r="K23" s="24" t="n">
        <x:v>2</x:v>
      </x:c>
      <x:c r="L23" s="29" t="n">
        <x:v>-0.006784260515603657</x:v>
      </x:c>
      <x:c r="M23" s="29" t="n">
        <x:v>0.024423337856173788</x:v>
      </x:c>
      <x:c r="N23" s="29" t="n">
        <x:v>0.02578018995929443</x:v>
      </x:c>
      <x:c r="O23" s="29" t="n">
        <x:v>-0.01899592944369044</x:v>
      </x:c>
      <x:c r="P23" s="14" t="str">
        <x:v>available</x:v>
      </x:c>
      <x:c r="Q23" s="15" t="b">
        <x:v>1</x:v>
      </x:c>
    </x:row>
    <x:row r="24" ht="69" customHeight="1">
      <x:c r="A24" s="17" t="n">
        <x:v>46262</x:v>
      </x:c>
      <x:c r="B24" s="17" t="n">
        <x:v>46261</x:v>
      </x:c>
      <x:c r="C24" s="20" t="n">
        <x:v>46262.37847222222</x:v>
      </x:c>
      <x:c r="D24" s="23" t="n">
        <x:v>3</x:v>
      </x:c>
      <x:c r="E24" s="12" t="str">
        <x:v>000801.SZ</x:v>
      </x:c>
      <x:c r="F24" s="12" t="str">
        <x:v>四川九洲</x:v>
      </x:c>
      <x:c r="G24" s="25" t="str">
        <x:v>sector_diffusion</x:v>
      </x:c>
      <x:c r="H24" s="25" t="str">
        <x:v>黑色家电行业满足V4广泛扩散全部条件，个股5日行业分位约0.875并有价量确认；原行动条件要求行业广度与个股相对强势同时维持。</x:v>
      </x:c>
      <x:c r="I24" s="25" t="str">
        <x:v>行业仅9只成员且前三只贡献72.09%，公司一季度收入增长但利润下降32.20%。</x:v>
      </x:c>
      <x:c r="J24" s="25" t="str">
        <x:v>相比盾安环境，四川九洲所在行业的3日、5日超额、广度和个股连续推进更强。</x:v>
      </x:c>
      <x:c r="K24" s="23" t="n">
        <x:v>2</x:v>
      </x:c>
      <x:c r="L24" s="28" t="n">
        <x:v>0.05630252100840338</x:v>
      </x:c>
      <x:c r="M24" s="28" t="n">
        <x:v>0.05630252100840338</x:v>
      </x:c>
      <x:c r="N24" s="28" t="n">
        <x:v>0.06386554621848717</x:v>
      </x:c>
      <x:c r="O24" s="28" t="n">
        <x:v>-0.015966386554621903</x:v>
      </x:c>
      <x:c r="P24" s="12" t="str">
        <x:v>available</x:v>
      </x:c>
      <x:c r="Q24" s="13" t="b">
        <x:v>1</x:v>
      </x:c>
    </x:row>
    <x:row r="25" ht="69" customHeight="1">
      <x:c r="A25" s="18" t="n">
        <x:v>46262</x:v>
      </x:c>
      <x:c r="B25" s="18" t="n">
        <x:v>46261</x:v>
      </x:c>
      <x:c r="C25" s="21" t="n">
        <x:v>46262.37847222222</x:v>
      </x:c>
      <x:c r="D25" s="24" t="n">
        <x:v>4</x:v>
      </x:c>
      <x:c r="E25" s="14" t="str">
        <x:v>000513.SZ</x:v>
      </x:c>
      <x:c r="F25" s="14" t="str">
        <x:v>丽珠集团</x:v>
      </x:c>
      <x:c r="G25" s="26" t="str">
        <x:v>company_catalyst</x:v>
      </x:c>
      <x:c r="H25" s="26" t="str">
        <x:v>国产首个IL-17A/F双靶点创新生物制剂正式获批上市；原行动条件仅在首日正常可成交、未高开透支且成交能推动有效收盘时成立。</x:v>
      </x:c>
      <x:c r="I25" s="26" t="str">
        <x:v>公告前5日下跌14.15%、显著跑输市场，商业化销售和竞争结果尚未知。</x:v>
      </x:c>
      <x:c r="J25" s="26" t="str">
        <x:v>相比威海广泰，丽珠集团事件的监管里程碑和潜在产品市场更具独立性，但前置价格更弱。</x:v>
      </x:c>
      <x:c r="K25" s="24" t="n">
        <x:v>2</x:v>
      </x:c>
      <x:c r="L25" s="29" t="n">
        <x:v>-0.011601796407185505</x:v>
      </x:c>
      <x:c r="M25" s="29" t="n">
        <x:v>0.0014970059880239361</x:v>
      </x:c>
      <x:c r="N25" s="29" t="n">
        <x:v>0.008607784431137633</x:v>
      </x:c>
      <x:c r="O25" s="29" t="n">
        <x:v>-0.016841317365269393</x:v>
      </x:c>
      <x:c r="P25" s="14" t="str">
        <x:v>available</x:v>
      </x:c>
      <x:c r="Q25" s="15" t="b">
        <x:v>1</x:v>
      </x:c>
    </x:row>
    <x:row r="26" ht="69" customHeight="1">
      <x:c r="A26" s="17" t="n">
        <x:v>46262</x:v>
      </x:c>
      <x:c r="B26" s="17" t="n">
        <x:v>46261</x:v>
      </x:c>
      <x:c r="C26" s="20" t="n">
        <x:v>46262.37847222222</x:v>
      </x:c>
      <x:c r="D26" s="23" t="n">
        <x:v>5</x:v>
      </x:c>
      <x:c r="E26" s="12" t="str">
        <x:v>301085.SZ</x:v>
      </x:c>
      <x:c r="F26" s="12" t="str">
        <x:v>亚康股份</x:v>
      </x:c>
      <x:c r="G26" s="25" t="str">
        <x:v>company_catalyst</x:v>
      </x:c>
      <x:c r="H26" s="25" t="str">
        <x:v>五年9.2544亿元算力服务合同约为2025年收入69%，并采用月度预付；原行动条件仅在首日未高开耗尽路径且成交收盘共同确认时成立。</x:v>
      </x:c>
      <x:c r="I26" s="25" t="str">
        <x:v>客户匿名、履约期长、交付验收存在不确定性，公司2025年仍亏损且公告前成交偏低。</x:v>
      </x:c>
      <x:c r="J26" s="25" t="str">
        <x:v>相比粤万年青，亚康股份合同与既有IT运维主营更直接、结算约束更清晰，且没有公告前20日上涨36.88%的透支。</x:v>
      </x:c>
      <x:c r="K26" s="23" t="n">
        <x:v>2</x:v>
      </x:c>
      <x:c r="L26" s="28" t="n">
        <x:v>-0.01972418216805638</x:v>
      </x:c>
      <x:c r="M26" s="28" t="n">
        <x:v>-0.01972418216805638</x:v>
      </x:c>
      <x:c r="N26" s="28" t="n">
        <x:v>0.015073765234124403</x:v>
      </x:c>
      <x:c r="O26" s="28" t="n">
        <x:v>-0.07665169980756892</x:v>
      </x:c>
      <x:c r="P26" s="12" t="str">
        <x:v>available</x:v>
      </x:c>
      <x:c r="Q26" s="13" t="b">
        <x:v>1</x:v>
      </x:c>
    </x:row>
    <x:row r="27" ht="69" customHeight="1">
      <x:c r="A27" s="18" t="n">
        <x:v>46265</x:v>
      </x:c>
      <x:c r="B27" s="18" t="n">
        <x:v>46262</x:v>
      </x:c>
      <x:c r="C27" s="21" t="n">
        <x:v>46265.38170138889</x:v>
      </x:c>
      <x:c r="D27" s="24" t="n">
        <x:v>1</x:v>
      </x:c>
      <x:c r="E27" s="14" t="str">
        <x:v>002430.SZ</x:v>
      </x:c>
      <x:c r="F27" s="14" t="str">
        <x:v>杭氧股份</x:v>
      </x:c>
      <x:c r="G27" s="26" t="str">
        <x:v>independent_price_anomaly</x:v>
      </x:c>
      <x:c r="H27" s="26" t="str">
        <x:v>多日显著跑赢市场和行业，3.21倍成交仍形成高效收盘，半年收入和利润增长提供直接经营锚；原行动条件是正常双向成交且相对强势不消失。</x:v>
      </x:c>
      <x:c r="I27" s="26" t="str">
        <x:v>近5日已上涨12.64%，成交放大后可能迅速降温，且经营现金流同比小幅下降。</x:v>
      </x:c>
      <x:c r="J27" s="26" t="str">
        <x:v>相比伯特利，杭氧的强势更多来自多日连续路径，且有更强的当期经营增长锚，不是主要依赖8月28日单日大涨。</x:v>
      </x:c>
      <x:c r="K27" s="24" t="n">
        <x:v>1</x:v>
      </x:c>
      <x:c r="L27" s="29" t="n">
        <x:v>0.036589966050546874</x:v>
      </x:c>
      <x:c r="M27" s="29" t="n">
        <x:v>0.036589966050546874</x:v>
      </x:c>
      <x:c r="N27" s="29" t="n">
        <x:v>0.03923047906450372</x:v>
      </x:c>
      <x:c r="O27" s="29" t="n">
        <x:v>-0.009430403621275119</x:v>
      </x:c>
      <x:c r="P27" s="14" t="str">
        <x:v>available</x:v>
      </x:c>
      <x:c r="Q27" s="15" t="b">
        <x:v>1</x:v>
      </x:c>
    </x:row>
    <x:row r="28" ht="69" customHeight="1">
      <x:c r="A28" s="17" t="n">
        <x:v>46265</x:v>
      </x:c>
      <x:c r="B28" s="17" t="n">
        <x:v>46262</x:v>
      </x:c>
      <x:c r="C28" s="20" t="n">
        <x:v>46265.38170138889</x:v>
      </x:c>
      <x:c r="D28" s="23" t="n">
        <x:v>2</x:v>
      </x:c>
      <x:c r="E28" s="12" t="str">
        <x:v>300910.SZ</x:v>
      </x:c>
      <x:c r="F28" s="12" t="str">
        <x:v>瑞丰新材</x:v>
      </x:c>
      <x:c r="G28" s="25" t="str">
        <x:v>sector_diffusion</x:v>
      </x:c>
      <x:c r="H28" s="25" t="str">
        <x:v>化学制品组广泛扩散、成交占比上升且贡献分散，个股位于行业领先分位并有完整价量确认；原行动条件是行业覆盖不快速收缩且个股不失去有效收盘。</x:v>
      </x:c>
      <x:c r="I28" s="25" t="str">
        <x:v>个股5日已上涨14.35%，一季度归母净利润同比下降28.22%。</x:v>
      </x:c>
      <x:c r="J28" s="25" t="str">
        <x:v>相比同为行业扩散候选的三峡新材，瑞丰新材所在组样本更大、贡献更分散，公司也没有当期大幅亏损的强反证。</x:v>
      </x:c>
      <x:c r="K28" s="23" t="n">
        <x:v>1</x:v>
      </x:c>
      <x:c r="L28" s="28" t="n">
        <x:v>0.012824956672443433</x:v>
      </x:c>
      <x:c r="M28" s="28" t="n">
        <x:v>0.012824956672443433</x:v>
      </x:c>
      <x:c r="N28" s="28" t="n">
        <x:v>0.018370883882149025</x:v>
      </x:c>
      <x:c r="O28" s="28" t="n">
        <x:v>-0.01906412478336228</x:v>
      </x:c>
      <x:c r="P28" s="12" t="str">
        <x:v>available</x:v>
      </x:c>
      <x:c r="Q28" s="13" t="b">
        <x:v>1</x:v>
      </x:c>
    </x:row>
    <x:row r="29" ht="69" customHeight="1">
      <x:c r="A29" s="18" t="n">
        <x:v>46265</x:v>
      </x:c>
      <x:c r="B29" s="18" t="n">
        <x:v>46262</x:v>
      </x:c>
      <x:c r="C29" s="21" t="n">
        <x:v>46265.38170138889</x:v>
      </x:c>
      <x:c r="D29" s="24" t="n">
        <x:v>3</x:v>
      </x:c>
      <x:c r="E29" s="14" t="str">
        <x:v>600150.SH</x:v>
      </x:c>
      <x:c r="F29" s="14" t="str">
        <x:v>中国船舶</x:v>
      </x:c>
      <x:c r="G29" s="26" t="str">
        <x:v>company_catalyst</x:v>
      </x:c>
      <x:c r="H29" s="26" t="str">
        <x:v>已签署生效的12艘大型LNG双燃料集装箱船合同总价26.88亿美元，与主营直接相关；原行动条件是首个可观察交易日正常成交、不高开透支，并以相对市场和行业强势形成有效收盘。</x:v>
      </x:c>
      <x:c r="I29" s="26" t="str">
        <x:v>合同交付在2028至2030年，公司明确称对当期利润无重大影响；事件后价格尚不可观察。</x:v>
      </x:c>
      <x:c r="J29" s="26" t="str">
        <x:v>相比吉峰科技只收到中标通知且业务连接偏间接，中国船舶的合同已生效、金额明确并与主营直接，但仍只能条件性入选。</x:v>
      </x:c>
      <x:c r="K29" s="24" t="n">
        <x:v>1</x:v>
      </x:c>
      <x:c r="L29" s="29" t="n">
        <x:v>-0.020689655172413723</x:v>
      </x:c>
      <x:c r="M29" s="29" t="n">
        <x:v>-0.020689655172413723</x:v>
      </x:c>
      <x:c r="N29" s="29" t="n">
        <x:v>0.0002873563218392938</x:v>
      </x:c>
      <x:c r="O29" s="29" t="n">
        <x:v>-0.03390804597701147</x:v>
      </x:c>
      <x:c r="P29" s="14" t="str">
        <x:v>available</x:v>
      </x:c>
      <x:c r="Q29" s="15" t="b">
        <x:v>1</x:v>
      </x:c>
    </x:row>
    <x:row r="30" ht="69" customHeight="1">
      <x:c r="A30" s="17" t="n">
        <x:v>46265</x:v>
      </x:c>
      <x:c r="B30" s="17" t="n">
        <x:v>46262</x:v>
      </x:c>
      <x:c r="C30" s="20" t="n">
        <x:v>46265.38170138889</x:v>
      </x:c>
      <x:c r="D30" s="23" t="n">
        <x:v>4</x:v>
      </x:c>
      <x:c r="E30" s="12" t="str">
        <x:v>000928.SZ</x:v>
      </x:c>
      <x:c r="F30" s="12" t="str">
        <x:v>中钢国际</x:v>
      </x:c>
      <x:c r="G30" s="25" t="str">
        <x:v>independent_price_anomaly</x:v>
      </x:c>
      <x:c r="H30" s="25" t="str">
        <x:v>5日上涨7.49%且同时跑赢市场和行业，2.24倍成交配合0.938的价量效率，60日仍处中低位；原行动条件是正常双向成交、不以高开耗尽剩余路径，并继续跑赢行业。</x:v>
      </x:c>
      <x:c r="I30" s="25" t="str">
        <x:v>上半年收入和归母净利润同比分别下降1.06%和6.18%，价格启动尚缺少利润增量。</x:v>
      </x:c>
      <x:c r="J30" s="25" t="str">
        <x:v>相比伯特利，中钢国际单日跳升占比更低、60日位置更低且目标波动距离更远，但公司经营反证也更强，因此仅列第4。</x:v>
      </x:c>
      <x:c r="K30" s="23" t="n">
        <x:v>1</x:v>
      </x:c>
      <x:c r="L30" s="28" t="n">
        <x:v>0.026168224299065512</x:v>
      </x:c>
      <x:c r="M30" s="28" t="n">
        <x:v>0.026168224299065512</x:v>
      </x:c>
      <x:c r="N30" s="28" t="n">
        <x:v>0.0317757009345796</x:v>
      </x:c>
      <x:c r="O30" s="28" t="n">
        <x:v>-0.009345794392523255</x:v>
      </x:c>
      <x:c r="P30" s="12" t="str">
        <x:v>available</x:v>
      </x:c>
      <x:c r="Q30" s="13" t="b">
        <x:v>1</x:v>
      </x:c>
    </x:row>
  </x:sheetData>
  <x:conditionalFormatting sqref="L2:O30">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6744e95c26548e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9.779999732971191" hidden="0" customWidth="1"/>
    <x:col min="3" max="3" width="9.329999923706055" hidden="0" customWidth="1"/>
    <x:col min="4" max="4" width="20" hidden="0" customWidth="1"/>
    <x:col min="5" max="5" width="9.109999656677246" hidden="0" customWidth="1"/>
    <x:col min="6" max="6" width="9.779999732971191" hidden="0" customWidth="1"/>
    <x:col min="7" max="7" width="33.33000183105469" hidden="0" customWidth="1"/>
    <x:col min="8" max="8" width="35.560001373291016" hidden="0" customWidth="1"/>
    <x:col min="9" max="9" width="38.88999938964844" hidden="0" customWidth="1"/>
    <x:col min="10" max="10" width="35.560001373291016" hidden="0" customWidth="1"/>
    <x:col min="11" max="11" width="36.66999816894531" hidden="0" customWidth="1"/>
    <x:col min="12" max="12" width="36.66999816894531" hidden="0" customWidth="1"/>
    <x:col min="13" max="13" width="33.33000183105469" hidden="0" customWidth="1"/>
    <x:col min="14" max="14" width="33.33000183105469" hidden="0" customWidth="1"/>
    <x:col min="15" max="15" width="35.560001373291016" hidden="0" customWidth="1"/>
    <x:col min="16" max="16" width="16.670000076293945" hidden="0" customWidth="1"/>
    <x:col min="17" max="17" width="24.440000534057617" hidden="0" customWidth="1"/>
    <x:col min="18" max="18" width="28.889999389648438" hidden="0" customWidth="1"/>
  </x:cols>
  <x:sheetData>
    <x:row r="1" ht="25.5" customHeight="1">
      <x:c r="A1" s="16" t="str">
        <x:v>行动日</x:v>
      </x:c>
      <x:c r="B1" s="11" t="str">
        <x:v>代码</x:v>
      </x:c>
      <x:c r="C1" s="11" t="str">
        <x:v>名称</x:v>
      </x:c>
      <x:c r="D1" s="11" t="str">
        <x:v>发动机</x:v>
      </x:c>
      <x:c r="E1" s="11" t="str">
        <x:v>状态</x:v>
      </x:c>
      <x:c r="F1" s="11" t="str">
        <x:v>市场确认</x:v>
      </x:c>
      <x:c r="G1" s="11" t="str">
        <x:v>市场确认依据</x:v>
      </x:c>
      <x:c r="H1" s="11" t="str">
        <x:v>催化</x:v>
      </x:c>
      <x:c r="I1" s="11" t="str">
        <x:v>短期发动机</x:v>
      </x:c>
      <x:c r="J1" s="11" t="str">
        <x:v>传播链</x:v>
      </x:c>
      <x:c r="K1" s="11" t="str">
        <x:v>价格确认</x:v>
      </x:c>
      <x:c r="L1" s="11" t="str">
        <x:v>剩余路径</x:v>
      </x:c>
      <x:c r="M1" s="11" t="str">
        <x:v>基本面锚</x:v>
      </x:c>
      <x:c r="N1" s="11" t="str">
        <x:v>公司风险</x:v>
      </x:c>
      <x:c r="O1" s="11" t="str">
        <x:v>关键未知</x:v>
      </x:c>
      <x:c r="P1" s="11" t="str">
        <x:v>行动条件证据ID</x:v>
      </x:c>
      <x:c r="Q1" s="11" t="str">
        <x:v>决策证据ID</x:v>
      </x:c>
      <x:c r="R1" s="11" t="str">
        <x:v>历史缺口说明</x:v>
      </x:c>
    </x:row>
    <x:row r="2" ht="69" customHeight="1">
      <x:c r="A2" s="17" t="n">
        <x:v>46254</x:v>
      </x:c>
      <x:c r="B2" s="12" t="str">
        <x:v>000703.SZ</x:v>
      </x:c>
      <x:c r="C2" s="12" t="str">
        <x:v>恒逸石化</x:v>
      </x:c>
      <x:c r="D2" s="25"/>
      <x:c r="E2" s="12"/>
      <x:c r="F2" s="12"/>
      <x:c r="G2" s="25"/>
      <x:c r="H2" s="25"/>
      <x:c r="I2" s="25"/>
      <x:c r="J2" s="25"/>
      <x:c r="K2" s="25"/>
      <x:c r="L2" s="25"/>
      <x:c r="M2" s="25"/>
      <x:c r="N2" s="25"/>
      <x:c r="O2" s="25"/>
      <x:c r="P2" s="12"/>
      <x:c r="Q2" s="25" t="str">
        <x:v>[]</x:v>
      </x:c>
      <x:c r="R2" s="25" t="str">
        <x:v>legacy_candidate_chain; no V4 research_thesis was recorded</x:v>
      </x:c>
    </x:row>
    <x:row r="3" ht="69" customHeight="1">
      <x:c r="A3" s="18" t="n">
        <x:v>46254</x:v>
      </x:c>
      <x:c r="B3" s="14" t="str">
        <x:v>601609.SH</x:v>
      </x:c>
      <x:c r="C3" s="14" t="str">
        <x:v>金田股份</x:v>
      </x:c>
      <x:c r="D3" s="26"/>
      <x:c r="E3" s="14"/>
      <x:c r="F3" s="14"/>
      <x:c r="G3" s="26"/>
      <x:c r="H3" s="26"/>
      <x:c r="I3" s="26"/>
      <x:c r="J3" s="26"/>
      <x:c r="K3" s="26"/>
      <x:c r="L3" s="26"/>
      <x:c r="M3" s="26"/>
      <x:c r="N3" s="26"/>
      <x:c r="O3" s="26"/>
      <x:c r="P3" s="14"/>
      <x:c r="Q3" s="26" t="str">
        <x:v>[]</x:v>
      </x:c>
      <x:c r="R3" s="26" t="str">
        <x:v>legacy_candidate_chain; no V4 research_thesis was recorded</x:v>
      </x:c>
    </x:row>
    <x:row r="4" ht="69" customHeight="1">
      <x:c r="A4" s="17" t="n">
        <x:v>46254</x:v>
      </x:c>
      <x:c r="B4" s="12" t="str">
        <x:v>600408.SH</x:v>
      </x:c>
      <x:c r="C4" s="12" t="str">
        <x:v>安泰集团</x:v>
      </x:c>
      <x:c r="D4" s="25"/>
      <x:c r="E4" s="12"/>
      <x:c r="F4" s="12"/>
      <x:c r="G4" s="25"/>
      <x:c r="H4" s="25"/>
      <x:c r="I4" s="25"/>
      <x:c r="J4" s="25"/>
      <x:c r="K4" s="25"/>
      <x:c r="L4" s="25"/>
      <x:c r="M4" s="25"/>
      <x:c r="N4" s="25"/>
      <x:c r="O4" s="25"/>
      <x:c r="P4" s="12"/>
      <x:c r="Q4" s="25" t="str">
        <x:v>[]</x:v>
      </x:c>
      <x:c r="R4" s="25" t="str">
        <x:v>legacy_candidate_chain; no V4 research_thesis was recorded</x:v>
      </x:c>
    </x:row>
    <x:row r="5" ht="69" customHeight="1">
      <x:c r="A5" s="18" t="n">
        <x:v>46254</x:v>
      </x:c>
      <x:c r="B5" s="14" t="str">
        <x:v>002508.SZ</x:v>
      </x:c>
      <x:c r="C5" s="14" t="str">
        <x:v>老板电器</x:v>
      </x:c>
      <x:c r="D5" s="26"/>
      <x:c r="E5" s="14"/>
      <x:c r="F5" s="14"/>
      <x:c r="G5" s="26"/>
      <x:c r="H5" s="26"/>
      <x:c r="I5" s="26"/>
      <x:c r="J5" s="26"/>
      <x:c r="K5" s="26"/>
      <x:c r="L5" s="26"/>
      <x:c r="M5" s="26"/>
      <x:c r="N5" s="26"/>
      <x:c r="O5" s="26"/>
      <x:c r="P5" s="14"/>
      <x:c r="Q5" s="26" t="str">
        <x:v>[]</x:v>
      </x:c>
      <x:c r="R5" s="26" t="str">
        <x:v>legacy_candidate_chain; no V4 research_thesis was recorded</x:v>
      </x:c>
    </x:row>
    <x:row r="6" ht="69" customHeight="1">
      <x:c r="A6" s="17" t="n">
        <x:v>46255</x:v>
      </x:c>
      <x:c r="B6" s="12" t="str">
        <x:v>600601.SH</x:v>
      </x:c>
      <x:c r="C6" s="12" t="str">
        <x:v>方正科技</x:v>
      </x:c>
      <x:c r="D6" s="25"/>
      <x:c r="E6" s="12"/>
      <x:c r="F6" s="12"/>
      <x:c r="G6" s="25"/>
      <x:c r="H6" s="25"/>
      <x:c r="I6" s="25"/>
      <x:c r="J6" s="25"/>
      <x:c r="K6" s="25"/>
      <x:c r="L6" s="25"/>
      <x:c r="M6" s="25"/>
      <x:c r="N6" s="25"/>
      <x:c r="O6" s="25"/>
      <x:c r="P6" s="12"/>
      <x:c r="Q6" s="25" t="str">
        <x:v>[]</x:v>
      </x:c>
      <x:c r="R6" s="25"/>
    </x:row>
    <x:row r="7" ht="69" customHeight="1">
      <x:c r="A7" s="18" t="n">
        <x:v>46255</x:v>
      </x:c>
      <x:c r="B7" s="14" t="str">
        <x:v>603993.SH</x:v>
      </x:c>
      <x:c r="C7" s="14" t="str">
        <x:v>洛阳钼业</x:v>
      </x:c>
      <x:c r="D7" s="26"/>
      <x:c r="E7" s="14"/>
      <x:c r="F7" s="14"/>
      <x:c r="G7" s="26"/>
      <x:c r="H7" s="26"/>
      <x:c r="I7" s="26"/>
      <x:c r="J7" s="26"/>
      <x:c r="K7" s="26"/>
      <x:c r="L7" s="26"/>
      <x:c r="M7" s="26"/>
      <x:c r="N7" s="26"/>
      <x:c r="O7" s="26"/>
      <x:c r="P7" s="14"/>
      <x:c r="Q7" s="26" t="str">
        <x:v>[]</x:v>
      </x:c>
      <x:c r="R7" s="26"/>
    </x:row>
    <x:row r="8" ht="69" customHeight="1">
      <x:c r="A8" s="17" t="n">
        <x:v>46255</x:v>
      </x:c>
      <x:c r="B8" s="12" t="str">
        <x:v>603969.SH</x:v>
      </x:c>
      <x:c r="C8" s="12" t="str">
        <x:v>银龙股份</x:v>
      </x:c>
      <x:c r="D8" s="25"/>
      <x:c r="E8" s="12"/>
      <x:c r="F8" s="12"/>
      <x:c r="G8" s="25"/>
      <x:c r="H8" s="25"/>
      <x:c r="I8" s="25"/>
      <x:c r="J8" s="25"/>
      <x:c r="K8" s="25"/>
      <x:c r="L8" s="25"/>
      <x:c r="M8" s="25"/>
      <x:c r="N8" s="25"/>
      <x:c r="O8" s="25"/>
      <x:c r="P8" s="12"/>
      <x:c r="Q8" s="25" t="str">
        <x:v>[]</x:v>
      </x:c>
      <x:c r="R8" s="25"/>
    </x:row>
    <x:row r="9" ht="69" customHeight="1">
      <x:c r="A9" s="18" t="n">
        <x:v>46255</x:v>
      </x:c>
      <x:c r="B9" s="14" t="str">
        <x:v>600737.SH</x:v>
      </x:c>
      <x:c r="C9" s="14" t="str">
        <x:v>中粮糖业</x:v>
      </x:c>
      <x:c r="D9" s="26"/>
      <x:c r="E9" s="14"/>
      <x:c r="F9" s="14"/>
      <x:c r="G9" s="26"/>
      <x:c r="H9" s="26"/>
      <x:c r="I9" s="26"/>
      <x:c r="J9" s="26"/>
      <x:c r="K9" s="26"/>
      <x:c r="L9" s="26"/>
      <x:c r="M9" s="26"/>
      <x:c r="N9" s="26"/>
      <x:c r="O9" s="26"/>
      <x:c r="P9" s="14"/>
      <x:c r="Q9" s="26" t="str">
        <x:v>[]</x:v>
      </x:c>
      <x:c r="R9" s="26"/>
    </x:row>
    <x:row r="10" ht="69" customHeight="1">
      <x:c r="A10" s="17" t="n">
        <x:v>46258</x:v>
      </x:c>
      <x:c r="B10" s="12" t="str">
        <x:v>600583.SH</x:v>
      </x:c>
      <x:c r="C10" s="12" t="str">
        <x:v>海油工程</x:v>
      </x:c>
      <x:c r="D10" s="25" t="str">
        <x:v>sector_leader_cluster</x:v>
      </x:c>
      <x:c r="E10" s="12" t="str">
        <x:v>active</x:v>
      </x:c>
      <x:c r="F10" s="12" t="str">
        <x:v>confirmed</x:v>
      </x:c>
      <x:c r="G10" s="25" t="str">
        <x:v>油服工程3日、5日相对市场收益为+1.49%和+4.05%，5日成交份额增加；海油工程5日上涨12.29%、相对市场+13.30%、相对行业+9.25%，成交额为20日均值1.11倍。</x:v>
      </x:c>
      <x:c r="H10" s="25" t="str">
        <x:v>油服工程板块多只领导股票同步增强，海油工程处于板块最强位置。</x:v>
      </x:c>
      <x:c r="I10" s="25" t="str">
        <x:v>板块内四只股票同时满足3日、5日跑赢市场和板块内前25%的条件，海油工程获得真实的板块需求支持。</x:v>
      </x:c>
      <x:c r="J10" s="25" t="str">
        <x:v>14只有效成员中有4只领导股票同步增强，最强单股只占板块当日正收益贡献30.24%，并非一只股票单独拉动。</x:v>
      </x:c>
      <x:c r="K10" s="25" t="str">
        <x:v>截至8月21日，海油工程5日上涨12.29%，相对市场+13.30%、相对行业+9.25%，成交额比1.11，5日价量推进效率0.93。</x:v>
      </x:c>
      <x:c r="L10" s="25" t="str">
        <x:v>20日仅上涨11.07%，距离再涨20%约需6.8个近期平均波动幅度，短期涨幅尚未像高位加速股那样透支；但60日位置已达0.984。</x:v>
      </x:c>
      <x:c r="M10" s="25" t="str">
        <x:v>半年报收入增长约9.42%，归母利润基本持平，经营现金流为正。</x:v>
      </x:c>
      <x:c r="N10" s="25" t="str">
        <x:v>半年经营现金流同比下降约30%，利润没有同步增长，板块上涨仍需后续订单和行业景气确认。</x:v>
      </x:c>
      <x:c r="O10" s="25" t="str">
        <x:v>板块轮动能否持续，而不是在海油工程接近60日高点时结束。</x:v>
      </x:c>
      <x:c r="P10" s="12"/>
      <x:c r="Q10" s="25" t="str">
        <x:v>["sec-600583","co-600583","px-600583"]</x:v>
      </x:c>
      <x:c r="R10" s="25"/>
    </x:row>
    <x:row r="11" ht="69" customHeight="1">
      <x:c r="A11" s="18" t="n">
        <x:v>46258</x:v>
      </x:c>
      <x:c r="B11" s="14" t="str">
        <x:v>600980.SH</x:v>
      </x:c>
      <x:c r="C11" s="14" t="str">
        <x:v>北矿科技</x:v>
      </x:c>
      <x:c r="D11" s="26" t="str">
        <x:v>independent_demand_acceleration</x:v>
      </x:c>
      <x:c r="E11" s="14" t="str">
        <x:v>active</x:v>
      </x:c>
      <x:c r="F11" s="14" t="str">
        <x:v>confirmed</x:v>
      </x:c>
      <x:c r="G11" s="26" t="str">
        <x:v>截至8月21日，北矿科技5日上涨5.26%，相对市场+6.26%、相对专用设备行业+6.19%，成交额为20日均值1.23倍，形成日上涨2.14%且收盘接近日内高位。</x:v>
      </x:c>
      <x:c r="H11" s="26" t="str">
        <x:v>没有依赖新的公司公告；短期机会来自股票自身的相对需求增强，半年报只提供经营支持。</x:v>
      </x:c>
      <x:c r="I11" s="26" t="str">
        <x:v>市场3日和5日整体偏弱时，个股保持正收益并同时跑赢市场和专用设备行业，成交额温和放大。</x:v>
      </x:c>
      <x:c r="J11" s="26" t="str">
        <x:v>没有把专用设备行业整体上涨当成原因，主要证据来自北矿科技自身相对行业的增量。</x:v>
      </x:c>
      <x:c r="K11" s="26" t="str">
        <x:v>5日上涨5.26%、20日上涨18.88%，相对市场5日+6.26%、相对行业+6.19%，成交额比1.23，形成日收盘位置0.909。</x:v>
      </x:c>
      <x:c r="L11" s="26" t="str">
        <x:v>60日仍下跌9.75%，价格位于60日区间约0.70，距离再涨20%约需7.30个近期平均波动幅度，路径比高位快速加速股更从容。</x:v>
      </x:c>
      <x:c r="M11" s="26" t="str">
        <x:v>半年报收入和利润同比增长，经营现金流为正；当前负债率约53.78%。</x:v>
      </x:c>
      <x:c r="N11" s="26" t="str">
        <x:v>20日已经上涨18.88%，正式报告是对7月业绩快报的确认，不应期待重复披露继续提供新刺激。</x:v>
      </x:c>
      <x:c r="O11" s="26" t="str">
        <x:v>3日价格基本走平后，形成日的放量上行能否延续为多日需求，而不是一次反弹。</x:v>
      </x:c>
      <x:c r="P11" s="14"/>
      <x:c r="Q11" s="26" t="str">
        <x:v>["co-600980","px-600980"]</x:v>
      </x:c>
      <x:c r="R11" s="26"/>
    </x:row>
    <x:row r="12" ht="69" customHeight="1">
      <x:c r="A12" s="17" t="n">
        <x:v>46259</x:v>
      </x:c>
      <x:c r="B12" s="12" t="str">
        <x:v>000690.SZ</x:v>
      </x:c>
      <x:c r="C12" s="12" t="str">
        <x:v>宝新能源</x:v>
      </x:c>
      <x:c r="D12" s="25" t="str">
        <x:v>independent_demand_acceleration</x:v>
      </x:c>
      <x:c r="E12" s="12" t="str">
        <x:v>active</x:v>
      </x:c>
      <x:c r="F12" s="12" t="str">
        <x:v>confirmed</x:v>
      </x:c>
      <x:c r="G12" s="25" t="str">
        <x:v>截至8月24日，宝新能源3日上涨6.16%、5日上涨5.71%，相对市场分别为+6.71%和+9.46%，相对电力行业分别为+5.75%和+8.83%；成交额为20日均值2.27倍，5日价量推进效率0.94。</x:v>
      </x:c>
      <x:c r="H12" s="25" t="str">
        <x:v>没有依赖新的公司公告，短期推动来自股票自身在弱市场中的价量增强。</x:v>
      </x:c>
      <x:c r="I12" s="25" t="str">
        <x:v>个股在市场5日普遍下跌时连续跑赢市场和行业，形成日上涨并出现明显成交放大，属于早期的独立需求增强。</x:v>
      </x:c>
      <x:c r="J12" s="25" t="str">
        <x:v>电力行业整体不满足5日广泛扩散条件，因此不把行业普涨作为原因，主要证据来自宝新能源自身。</x:v>
      </x:c>
      <x:c r="K12" s="25" t="str">
        <x:v>截至8月24日，5日上涨5.71%、20日仅上涨1.42%，相对市场5日+9.46%、相对行业+8.83%，成交额比2.27，5日价量推进效率0.94。</x:v>
      </x:c>
      <x:c r="L12" s="25" t="str">
        <x:v>股价位于60日区间约0.33，距离再涨20%约需6.97个近期平均波动幅度；20日涨幅较低，剩余路径比已经连续突破的银行股更完整。</x:v>
      </x:c>
      <x:c r="M12" s="25" t="str">
        <x:v>一季度收入、归母净利润和经营现金流同比均为正增长，主营电力业务明确。</x:v>
      </x:c>
      <x:c r="N12" s="25" t="str">
        <x:v>一季度收入和利润增速都不高，当前价格增强主要依赖交易需求继续，而不是强劲的业绩加速。</x:v>
      </x:c>
      <x:c r="O12" s="25" t="str">
        <x:v>形成日4.82%的上涨和2.27倍成交能否延续为多日需求，而不是单日脉冲。</x:v>
      </x:c>
      <x:c r="P12" s="12"/>
      <x:c r="Q12" s="25" t="str">
        <x:v>["co-000690","px-000690"]</x:v>
      </x:c>
      <x:c r="R12" s="25"/>
    </x:row>
    <x:row r="13" ht="69" customHeight="1">
      <x:c r="A13" s="18" t="n">
        <x:v>46259</x:v>
      </x:c>
      <x:c r="B13" s="14" t="str">
        <x:v>601998.SH</x:v>
      </x:c>
      <x:c r="C13" s="14" t="str">
        <x:v>中信银行</x:v>
      </x:c>
      <x:c r="D13" s="26" t="str">
        <x:v>sector_broad_diffusion</x:v>
      </x:c>
      <x:c r="E13" s="14" t="str">
        <x:v>active</x:v>
      </x:c>
      <x:c r="F13" s="14" t="str">
        <x:v>confirmed</x:v>
      </x:c>
      <x:c r="G13" s="26" t="str">
        <x:v>股份制银行3日、5日相对市场收益为+2.82%和+7.59%，9只成分股两个周期上涨面均为100%，5日成交份额增加0.00256；中信银行5日上涨11.31%，相对市场+15.07%、相对行业+7.48%，成交额比1.74。</x:v>
      </x:c>
      <x:c r="H13" s="26" t="str">
        <x:v>股份制银行出现全体上涨和成交份额增加，中信银行处于板块最强位置。</x:v>
      </x:c>
      <x:c r="I13" s="26" t="str">
        <x:v>板块3日、5日收益中位数和上涨面同时为正，成交份额增加且正收益不是由少数三只股票垄断，中信银行获得真实的板块扩散支持。</x:v>
      </x:c>
      <x:c r="J13" s="26" t="str">
        <x:v>9只股份制银行成分股3日和5日全部上涨，前三只股票占当日正收益贡献43.15%，不是单股拉动。</x:v>
      </x:c>
      <x:c r="K13" s="26" t="str">
        <x:v>截至8月24日，3日上涨4.90%、5日上涨11.31%，相对市场5日+15.07%、相对行业+7.48%，成交额比1.74，5日价量推进效率1.00。</x:v>
      </x:c>
      <x:c r="L13" s="26" t="str">
        <x:v>距离再涨20%约需8.54个近期平均波动幅度，但价格已经处在60日区间高点，后续空间依赖板块扩散继续而不是继续加速追涨。</x:v>
      </x:c>
      <x:c r="M13" s="26" t="str">
        <x:v>一季度营业收入和归母净利润同比均保持正增长，主营银行业务与板块直接一致。</x:v>
      </x:c>
      <x:c r="N13" s="26" t="str">
        <x:v>一季度利润增速只有约3.02%，当前强势更像银行板块资金扩散；若防御风格退潮，公司基本面增速未必足以单独维持高位。</x:v>
      </x:c>
      <x:c r="O13" s="26" t="str">
        <x:v>银行板块的广泛上涨能否持续，还是在中信银行达到60日高点后迅速转为轮动。</x:v>
      </x:c>
      <x:c r="P13" s="14"/>
      <x:c r="Q13" s="26" t="str">
        <x:v>["sec-601998","co-601998","px-601998"]</x:v>
      </x:c>
      <x:c r="R13" s="26"/>
    </x:row>
    <x:row r="14" ht="69" customHeight="1">
      <x:c r="A14" s="17" t="n">
        <x:v>46260</x:v>
      </x:c>
      <x:c r="B14" s="12" t="str">
        <x:v>002366.SZ</x:v>
      </x:c>
      <x:c r="C14" s="12" t="str">
        <x:v>融发核电</x:v>
      </x:c>
      <x:c r="D14" s="25" t="str">
        <x:v>fresh_event_pending</x:v>
      </x:c>
      <x:c r="E14" s="12" t="str">
        <x:v>conditional</x:v>
      </x:c>
      <x:c r="F14" s="12" t="str">
        <x:v>pending</x:v>
      </x:c>
      <x:c r="G14" s="25" t="str">
        <x:v>公告在行动日开盘前可见，尚无任何行动日交易时段可用于观察市场承接。</x:v>
      </x:c>
      <x:c r="H14" s="25" t="str">
        <x:v>核电装备子公司取得约2.0052亿元管道合同中标通知。</x:v>
      </x:c>
      <x:c r="I14" s="25" t="str">
        <x:v>盘前新增的主营业务订单可能带来一次事件重估，但只有开盘后出现正常可参与的成交和相对强度，事件才从条件性线索转成可执行观察。</x:v>
      </x:c>
      <x:c r="J14" s="25" t="str">
        <x:v>订单直接对应核电装备业务，潜在传导路径为在手订单增加至收入确认预期改善；正式合同、交付节奏和毛利率尚未确定。</x:v>
      </x:c>
      <x:c r="K14" s="25" t="str">
        <x:v>尚未确认；事件后可交易时段为0，禁止使用行动日盘中价格补写。</x:v>
      </x:c>
      <x:c r="L14" s="25" t="str">
        <x:v>事件前5日下跌3.7351%、20日下跌1.3913%，相对市场5日基本持平，未呈现提前透支；剩余路径取决于首日承接是否健康。</x:v>
      </x:c>
      <x:c r="M14" s="25" t="str">
        <x:v>2026年一季度收入同比增长38.26%、归母净利润同比增长约224%，为订单传导提供经营基础。</x:v>
      </x:c>
      <x:c r="N14" s="25" t="str">
        <x:v>中标通知不等于已签署合同，半年业绩预告仍亏损，最终条款、执行和利润贡献均不确定。</x:v>
      </x:c>
      <x:c r="O14" s="25" t="str">
        <x:v>行动日首个正常可交易时段能否在不过度跳空的情况下出现成交放大、收盘位置稳健并取得相对市场确认。</x:v>
      </x:c>
      <x:c r="P14" s="12" t="str">
        <x:v>px-002366</x:v>
      </x:c>
      <x:c r="Q14" s="25" t="str">
        <x:v>["co-002366","px-002366"]</x:v>
      </x:c>
      <x:c r="R14" s="25"/>
    </x:row>
    <x:row r="15" ht="69" customHeight="1">
      <x:c r="A15" s="18" t="n">
        <x:v>46260</x:v>
      </x:c>
      <x:c r="B15" s="14" t="str">
        <x:v>002274.SZ</x:v>
      </x:c>
      <x:c r="C15" s="14" t="str">
        <x:v>华昌化工</x:v>
      </x:c>
      <x:c r="D15" s="26" t="str">
        <x:v>independent_demand_acceleration</x:v>
      </x:c>
      <x:c r="E15" s="14" t="str">
        <x:v>active</x:v>
      </x:c>
      <x:c r="F15" s="14" t="str">
        <x:v>confirmed</x:v>
      </x:c>
      <x:c r="G15" s="26" t="str">
        <x:v>截至形成日，3日和5日均显著跑赢市场及行业，成交额约为20日均值3.53倍，且无涨停日收益贡献。</x:v>
      </x:c>
      <x:c r="H15" s="26" t="str">
        <x:v>形成日前独立需求加速和有效突破，半年经营改善只提供基本面支撑。</x:v>
      </x:c>
      <x:c r="I15" s="26" t="str">
        <x:v>成交放大、收盘位置与相对强度共同指向买盘加速，路径不是依靠单个涨停日形成。</x:v>
      </x:c>
      <x:c r="J15" s="26" t="str">
        <x:v>量价确认先于市场持续扩散，属于股票自身需求驱动；基本面改善降低纯情绪驱动的解释权重。</x:v>
      </x:c>
      <x:c r="K15" s="26" t="str">
        <x:v>已确认：3日上涨9.2905%、5日上涨9.4755%，5日分别跑赢市场13.1527个百分点、跑赢行业8.4969个百分点，突破前60日高点约5.03%。</x:v>
      </x:c>
      <x:c r="L15" s="26" t="str">
        <x:v>距20%路径按波动率折算约7.50个ATR，虽处于近期高位但仍有一定余量；行动日只沿用原先对开盘可参与性的条件判断。</x:v>
      </x:c>
      <x:c r="M15" s="26" t="str">
        <x:v>半年收入、利润与经营现金流同步改善。</x:v>
      </x:c>
      <x:c r="N15" s="26" t="str">
        <x:v>半年报增量已被早先预告覆盖，若化工品景气和利润持续性不足，基本面锚可能弱化。</x:v>
      </x:c>
      <x:c r="O15" s="26" t="str">
        <x:v>高成交后能否维持相对行业强度，而不是在单日市场修复后快速回落。</x:v>
      </x:c>
      <x:c r="P15" s="14"/>
      <x:c r="Q15" s="26" t="str">
        <x:v>["co-002274","px-002274"]</x:v>
      </x:c>
      <x:c r="R15" s="26"/>
    </x:row>
    <x:row r="16" ht="69" customHeight="1">
      <x:c r="A16" s="17" t="n">
        <x:v>46260</x:v>
      </x:c>
      <x:c r="B16" s="12" t="str">
        <x:v>603408.SH</x:v>
      </x:c>
      <x:c r="C16" s="12" t="str">
        <x:v>建霖家居</x:v>
      </x:c>
      <x:c r="D16" s="25" t="str">
        <x:v>independent_demand_acceleration</x:v>
      </x:c>
      <x:c r="E16" s="12" t="str">
        <x:v>active</x:v>
      </x:c>
      <x:c r="F16" s="12" t="str">
        <x:v>confirmed</x:v>
      </x:c>
      <x:c r="G16" s="25" t="str">
        <x:v>形成日1日上涨5.8496%、3日上涨9.7209%、5日上涨9.1954%，成交额约为20日均值2.81倍，5日路径效率0.8936且涨停贡献为0。</x:v>
      </x:c>
      <x:c r="H16" s="25" t="str">
        <x:v>形成日前放量突破并持续跑赢市场与所属行业。</x:v>
      </x:c>
      <x:c r="I16" s="25" t="str">
        <x:v>没有涨停贡献的连续买盘推动价格突破，成交放大与较高收盘位置共同确认需求。</x:v>
      </x:c>
      <x:c r="J16" s="25" t="str">
        <x:v>由个股需求直接传导到相对强度和突破状态，不依赖全市场持续扩散。</x:v>
      </x:c>
      <x:c r="K16" s="25" t="str">
        <x:v>已确认：5日跑赢市场12.8727个百分点、跑赢行业9.5130个百分点，突破前60日高点约3.17%。</x:v>
      </x:c>
      <x:c r="L16" s="25" t="str">
        <x:v>距20%路径约6.43个ATR，但位置已在观察窗高位，后续需要维持正常成交与收盘质量。</x:v>
      </x:c>
      <x:c r="M16" s="25" t="str">
        <x:v>一季度收入增长，但利润和现金流没有同步改善。</x:v>
      </x:c>
      <x:c r="N16" s="25" t="str">
        <x:v>利润同比下降23.56%、经营现金流走弱，若收入增长无法转化为利润，价格趋势缺乏经营兑现。</x:v>
      </x:c>
      <x:c r="O16" s="25" t="str">
        <x:v>突破后的成交能否继续有效，而不是高位放量后快速衰减。</x:v>
      </x:c>
      <x:c r="P16" s="12"/>
      <x:c r="Q16" s="25" t="str">
        <x:v>["co-603408","px-603408"]</x:v>
      </x:c>
      <x:c r="R16" s="25"/>
    </x:row>
    <x:row r="17" ht="69" customHeight="1">
      <x:c r="A17" s="18" t="n">
        <x:v>46260</x:v>
      </x:c>
      <x:c r="B17" s="14" t="str">
        <x:v>300473.SZ</x:v>
      </x:c>
      <x:c r="C17" s="14" t="str">
        <x:v>德尔股份</x:v>
      </x:c>
      <x:c r="D17" s="26" t="str">
        <x:v>independent_demand_acceleration</x:v>
      </x:c>
      <x:c r="E17" s="14" t="str">
        <x:v>active</x:v>
      </x:c>
      <x:c r="F17" s="14" t="str">
        <x:v>confirmed</x:v>
      </x:c>
      <x:c r="G17" s="26" t="str">
        <x:v>3日上涨13.0575%、5日上涨8.9499%，3日跑赢市场13.9440个百分点、5日跑赢市场12.6272个百分点，成交额约为20日均值2.95倍且涨停贡献为0。</x:v>
      </x:c>
      <x:c r="H17" s="26" t="str">
        <x:v>形成日前连续相对强度和成交效率提升。</x:v>
      </x:c>
      <x:c r="I17" s="26" t="str">
        <x:v>个股买盘在3日和5日窗口持续跑赢市场及汽车零部件同行，路径没有依赖涨停。</x:v>
      </x:c>
      <x:c r="J17" s="26" t="str">
        <x:v>经营改善提供承接基础，个股需求通过相对强度和成交效率得到确认。</x:v>
      </x:c>
      <x:c r="K17" s="26" t="str">
        <x:v>已确认：5日跑赢行业12.0885个百分点，5日效率0.8302，成交额约为20日均值2.95倍。</x:v>
      </x:c>
      <x:c r="L17" s="26" t="str">
        <x:v>距20%路径约5.59个ATR，且距离长期前高仍较远，路径余量优于近期单日冲高的汽车零部件替代股。</x:v>
      </x:c>
      <x:c r="M17" s="26" t="str">
        <x:v>一季度利润同比翻倍并有正经营现金流。</x:v>
      </x:c>
      <x:c r="N17" s="26" t="str">
        <x:v>短期涨幅已集中在3日窗口，若汽车零部件同行不跟随，个股强度可能难持续。</x:v>
      </x:c>
      <x:c r="O17" s="26" t="str">
        <x:v>后续能否保持相对行业优势并避免3日快速拉升后的成交衰减。</x:v>
      </x:c>
      <x:c r="P17" s="14"/>
      <x:c r="Q17" s="26" t="str">
        <x:v>["co-300473","px-300473"]</x:v>
      </x:c>
      <x:c r="R17" s="26"/>
    </x:row>
    <x:row r="18" ht="69" customHeight="1">
      <x:c r="A18" s="17" t="n">
        <x:v>46261</x:v>
      </x:c>
      <x:c r="B18" s="12" t="str">
        <x:v>300107.SZ</x:v>
      </x:c>
      <x:c r="C18" s="12" t="str">
        <x:v>建新股份</x:v>
      </x:c>
      <x:c r="D18" s="25" t="str">
        <x:v>independent_demand_acceleration</x:v>
      </x:c>
      <x:c r="E18" s="12" t="str">
        <x:v>active</x:v>
      </x:c>
      <x:c r="F18" s="12" t="str">
        <x:v>confirmed</x:v>
      </x:c>
      <x:c r="G18" s="25" t="str">
        <x:v>3日和5日分别跑赢市场7.29和9.87个百分点，成交额为20日均值3.32倍，5日价量效率0.899且突破前60日高点1.63%。</x:v>
      </x:c>
      <x:c r="H18" s="25" t="str">
        <x:v>形成日前独立价格需求持续增强，半年经营改善只提供承接基础。</x:v>
      </x:c>
      <x:c r="I18" s="25" t="str">
        <x:v>没有涨停贡献的连续相对强势与3.32倍成交共同推动价格突破，说明需求不是单日脉冲。</x:v>
      </x:c>
      <x:c r="J18" s="25" t="str">
        <x:v>由股票自身成交和收盘推进形成，不依赖本次不可用的行业或主题传播。</x:v>
      </x:c>
      <x:c r="K18" s="25" t="str">
        <x:v>截至8月26日，1日、3日、5日分别上涨5.86%、6.68%、9.92%，5日跑赢市场9.87个百分点，成交额比3.32，价量效率0.899。</x:v>
      </x:c>
      <x:c r="L18" s="25" t="str">
        <x:v>20日上涨10.27%，距离再涨20%约需6.23个近期平均波动幅度；已突破前60日高点但尚未出现涨停依赖。</x:v>
      </x:c>
      <x:c r="M18" s="25" t="str">
        <x:v>半年收入、归母利润、扣非利润和经营现金流方向共同改善，资产负债率约11.45%。</x:v>
      </x:c>
      <x:c r="N18" s="25" t="str">
        <x:v>净利润高增存在低基数可能，且形成日已到60日价格区间高点，后续若放量不进会迅速削弱路径。</x:v>
      </x:c>
      <x:c r="O18" s="25" t="str">
        <x:v>形成日突破后能否继续出现多个有效收盘，而不是一次高位放量后停滞。</x:v>
      </x:c>
      <x:c r="P18" s="12"/>
      <x:c r="Q18" s="25" t="str">
        <x:v>["co-300107","px-300107"]</x:v>
      </x:c>
      <x:c r="R18" s="25"/>
    </x:row>
    <x:row r="19" ht="69" customHeight="1">
      <x:c r="A19" s="18" t="n">
        <x:v>46261</x:v>
      </x:c>
      <x:c r="B19" s="14" t="str">
        <x:v>301289.SZ</x:v>
      </x:c>
      <x:c r="C19" s="14" t="str">
        <x:v>国缆检测</x:v>
      </x:c>
      <x:c r="D19" s="26" t="str">
        <x:v>independent_demand_acceleration</x:v>
      </x:c>
      <x:c r="E19" s="14" t="str">
        <x:v>active</x:v>
      </x:c>
      <x:c r="F19" s="14" t="str">
        <x:v>confirmed</x:v>
      </x:c>
      <x:c r="G19" s="26" t="str">
        <x:v>3日和5日分别跑赢市场9.87和10.89个百分点，成交额为20日均值5.16倍，5日价量效率为1且无涨停贡献。</x:v>
      </x:c>
      <x:c r="H19" s="26" t="str">
        <x:v>形成日前成交显著激活并连续跑赢市场，经营改善提供承接基础。</x:v>
      </x:c>
      <x:c r="I19" s="26" t="str">
        <x:v>5.16倍成交放大没有变成冲高回落，3日与5日连续相对强度和高价量效率共同确认个股需求。</x:v>
      </x:c>
      <x:c r="J19" s="26" t="str">
        <x:v>由个股自身需求传到价格与成交，不使用本次不可用的行业或主题证据。</x:v>
      </x:c>
      <x:c r="K19" s="26" t="str">
        <x:v>截至8月26日，1日、3日、5日分别上涨6.45%、9.26%、10.94%，5日跑赢市场10.89个百分点，成交额比5.16，价量效率为1。</x:v>
      </x:c>
      <x:c r="L19" s="26" t="str">
        <x:v>20日上涨12.58%，距离再涨20%约需5.97个近期平均波动幅度；60日位置约0.65，尚未突破前60日高点。</x:v>
      </x:c>
      <x:c r="M19" s="26" t="str">
        <x:v>半年收入和利润温和增长、经营现金流较强、资产负债率较低。</x:v>
      </x:c>
      <x:c r="N19" s="26" t="str">
        <x:v>形成日单日上涨6.45%且成交放大很快，若此后成交仍高但收盘不再推进，可能只是短促需求。</x:v>
      </x:c>
      <x:c r="O19" s="26" t="str">
        <x:v>高成交能否在形成日后正常化并保持相对市场优势。</x:v>
      </x:c>
      <x:c r="P19" s="14"/>
      <x:c r="Q19" s="26" t="str">
        <x:v>["co-301289","px-301289"]</x:v>
      </x:c>
      <x:c r="R19" s="26"/>
    </x:row>
    <x:row r="20" ht="69" customHeight="1">
      <x:c r="A20" s="17" t="n">
        <x:v>46261</x:v>
      </x:c>
      <x:c r="B20" s="12" t="str">
        <x:v>300082.SZ</x:v>
      </x:c>
      <x:c r="C20" s="12" t="str">
        <x:v>奥克股份</x:v>
      </x:c>
      <x:c r="D20" s="25" t="str">
        <x:v>independent_demand_acceleration</x:v>
      </x:c>
      <x:c r="E20" s="12" t="str">
        <x:v>active</x:v>
      </x:c>
      <x:c r="F20" s="12" t="str">
        <x:v>confirmed</x:v>
      </x:c>
      <x:c r="G20" s="25" t="str">
        <x:v>3日和5日分别跑赢市场14.31和18.35个百分点，成交额为20日均值4.34倍，5日价量效率0.993且涨停贡献为0。</x:v>
      </x:c>
      <x:c r="H20" s="25" t="str">
        <x:v>形成日前个股需求持续加速，半年经营改善提供部分锚。</x:v>
      </x:c>
      <x:c r="I20" s="25" t="str">
        <x:v>多日相对市场强势、4.34倍成交和接近1的价量效率形成独立需求确认，且路径没有依赖涨停。</x:v>
      </x:c>
      <x:c r="J20" s="25" t="str">
        <x:v>由股票自身价格成交确认，不引用本次不可用的化工行业日数据。</x:v>
      </x:c>
      <x:c r="K20" s="25" t="str">
        <x:v>截至8月26日，1日、3日、5日分别上涨6.47%、13.70%、18.40%，5日跑赢市场18.35个百分点，成交额比4.34，价量效率0.993。</x:v>
      </x:c>
      <x:c r="L20" s="25" t="str">
        <x:v>20日上涨17.15%，距离再涨20%约需5.86个近期平均波动幅度；60日位置约0.69且仍低于前60日高点约12.94%。</x:v>
      </x:c>
      <x:c r="M20" s="25" t="str">
        <x:v>半年收入与利润改善，扣非利润增长明显。</x:v>
      </x:c>
      <x:c r="N20" s="25" t="str">
        <x:v>半年经营现金流仍为负，利润增速含低基数；5日已上涨18.40%，若成交放大转为停滞，剩余路径会快速收窄。</x:v>
      </x:c>
      <x:c r="O20" s="25" t="str">
        <x:v>利润改善能否转化为持续现金流，以及快速上涨后是否仍有正常承接。</x:v>
      </x:c>
      <x:c r="P20" s="12"/>
      <x:c r="Q20" s="25" t="str">
        <x:v>["co-300082","px-300082"]</x:v>
      </x:c>
      <x:c r="R20" s="25"/>
    </x:row>
    <x:row r="21" ht="69" customHeight="1">
      <x:c r="A21" s="18" t="n">
        <x:v>46261</x:v>
      </x:c>
      <x:c r="B21" s="14" t="str">
        <x:v>603993.SH</x:v>
      </x:c>
      <x:c r="C21" s="14" t="str">
        <x:v>洛阳钼业</x:v>
      </x:c>
      <x:c r="D21" s="26" t="str">
        <x:v>independent_demand_acceleration</x:v>
      </x:c>
      <x:c r="E21" s="14" t="str">
        <x:v>active</x:v>
      </x:c>
      <x:c r="F21" s="14" t="str">
        <x:v>confirmed</x:v>
      </x:c>
      <x:c r="G21" s="26" t="str">
        <x:v>3日和5日分别跑赢市场5.82和8.79个百分点，成交额为20日均值1.83倍，5日价量效率0.775且涨停贡献为0。</x:v>
      </x:c>
      <x:c r="H21" s="26" t="str">
        <x:v>形成日前个股需求从低累计涨幅状态开始增强，半年经营改善提供锚。</x:v>
      </x:c>
      <x:c r="I21" s="26" t="str">
        <x:v>3日和5日持续跑赢市场，成交增加仍能推动收盘，且20日累计涨幅尚低，形成较早期的独立需求加速。</x:v>
      </x:c>
      <x:c r="J21" s="26" t="str">
        <x:v>由个股自身需求和经营锚共同解释，不使用本次不可用的行业传播。</x:v>
      </x:c>
      <x:c r="K21" s="26" t="str">
        <x:v>截至8月26日，1日、3日、5日分别上涨6.35%、5.21%、8.83%，5日跑赢市场8.79个百分点，成交额比1.83，价量效率0.775。</x:v>
      </x:c>
      <x:c r="L21" s="26" t="str">
        <x:v>20日仅上涨2.67%，60日位置约0.58，距离前60日高点约9.89%；距离再涨20%约需4.57个近期平均波动幅度。</x:v>
      </x:c>
      <x:c r="M21" s="26" t="str">
        <x:v>半年收入、归母利润、扣非利润和经营现金流方向共同改善。</x:v>
      </x:c>
      <x:c r="N21" s="26" t="str">
        <x:v>形成日单日上涨6.35%，短期确认有向单日集中的迹象；资产负债率约52%，商品价格变化也可能放大经营波动。</x:v>
      </x:c>
      <x:c r="O21" s="26" t="str">
        <x:v>形成日后的成交能否继续推动多个收盘，而不是单日对半年数据的集中反应。</x:v>
      </x:c>
      <x:c r="P21" s="14"/>
      <x:c r="Q21" s="26" t="str">
        <x:v>["co-603993","px-603993"]</x:v>
      </x:c>
      <x:c r="R21" s="26"/>
    </x:row>
    <x:row r="22" ht="69" customHeight="1">
      <x:c r="A22" s="17" t="n">
        <x:v>46262</x:v>
      </x:c>
      <x:c r="B22" s="12" t="str">
        <x:v>003816.SZ</x:v>
      </x:c>
      <x:c r="C22" s="12" t="str">
        <x:v>中国广核</x:v>
      </x:c>
      <x:c r="D22" s="25" t="str">
        <x:v>independent_demand_acceleration</x:v>
      </x:c>
      <x:c r="E22" s="12" t="str">
        <x:v>active</x:v>
      </x:c>
      <x:c r="F22" s="12" t="str">
        <x:v>confirmed</x:v>
      </x:c>
      <x:c r="G22" s="25" t="str">
        <x:v>3日和5日分别跑赢市场6.26和7.19个百分点，成交额为20日均值1.65倍，5日价量效率0.949且无涨停贡献。</x:v>
      </x:c>
      <x:c r="H22" s="25" t="str">
        <x:v>形成日前个股需求从低累计涨幅状态快速增强。</x:v>
      </x:c>
      <x:c r="I22" s="25" t="str">
        <x:v>多日相对强势、成交放大和接近1的价量效率共同确认独立需求加速。</x:v>
      </x:c>
      <x:c r="J22" s="25" t="str">
        <x:v>由个股自身成交与收盘推进形成，不依赖单日涨停或行业标签。</x:v>
      </x:c>
      <x:c r="K22" s="25" t="str">
        <x:v>截至8月27日，3日上涨7.73%、5日上涨8.01%，分别跑赢市场6.26和7.19个百分点，成交额比1.65。</x:v>
      </x:c>
      <x:c r="L22" s="25" t="str">
        <x:v>20日仅上涨0.48%，60日位置约0.66，距离再涨20%约需10.39个近期平均波动幅度。</x:v>
      </x:c>
      <x:c r="M22" s="25" t="str">
        <x:v>核能发电与核电站运营是直接、可核验的主营锚。</x:v>
      </x:c>
      <x:c r="N22" s="25" t="str">
        <x:v>一季度收入和利润同比下降，价格需求尚未得到经营增量配合。</x:v>
      </x:c>
      <x:c r="O22" s="25" t="str">
        <x:v>形成日前的需求加速能否延续为多个有效收盘，而非短暂防御风格切换。</x:v>
      </x:c>
      <x:c r="P22" s="12"/>
      <x:c r="Q22" s="25" t="str">
        <x:v>["co-003816","px-003816"]</x:v>
      </x:c>
      <x:c r="R22" s="25"/>
    </x:row>
    <x:row r="23" ht="69" customHeight="1">
      <x:c r="A23" s="18" t="n">
        <x:v>46262</x:v>
      </x:c>
      <x:c r="B23" s="14" t="str">
        <x:v>000655.SZ</x:v>
      </x:c>
      <x:c r="C23" s="14" t="str">
        <x:v>金岭矿业</x:v>
      </x:c>
      <x:c r="D23" s="26" t="str">
        <x:v>independent_demand_acceleration</x:v>
      </x:c>
      <x:c r="E23" s="14" t="str">
        <x:v>active</x:v>
      </x:c>
      <x:c r="F23" s="14" t="str">
        <x:v>confirmed</x:v>
      </x:c>
      <x:c r="G23" s="26" t="str">
        <x:v>3日和5日分别跑赢市场2.64和5.86个百分点，5日价量效率为1，收盘突破前60日高点0.68%。</x:v>
      </x:c>
      <x:c r="H23" s="26" t="str">
        <x:v>形成日前完成不依赖涨停的60日价格突破。</x:v>
      </x:c>
      <x:c r="I23" s="26" t="str">
        <x:v>多窗口相对强势、成交放大与高效率收盘共同构成独立需求确认。</x:v>
      </x:c>
      <x:c r="J23" s="26" t="str">
        <x:v>由个股价格成交确认，不把矿价或账户身份补猜成事实。</x:v>
      </x:c>
      <x:c r="K23" s="26" t="str">
        <x:v>截至8月27日，3日上涨4.11%、5日上涨6.68%，5日跑赢市场5.86个百分点，成交额比1.61、价量效率为1。</x:v>
      </x:c>
      <x:c r="L23" s="26" t="str">
        <x:v>20日上涨9.21%，虽已处60日区间高点，但距离再涨20%约需8.67个近期平均波动幅度。</x:v>
      </x:c>
      <x:c r="M23" s="26" t="str">
        <x:v>2025年收入和利润增长，主营与铁矿石、铁精粉直接相关。</x:v>
      </x:c>
      <x:c r="N23" s="26" t="str">
        <x:v>一季度归母净利润同比下降28.46%，且突破后若放量不进，价格高位会迅速变成反证。</x:v>
      </x:c>
      <x:c r="O23" s="26" t="str">
        <x:v>突破后能否保持正常换手并继续形成有效收盘。</x:v>
      </x:c>
      <x:c r="P23" s="14"/>
      <x:c r="Q23" s="26" t="str">
        <x:v>["co-000655","px-000655"]</x:v>
      </x:c>
      <x:c r="R23" s="26"/>
    </x:row>
    <x:row r="24" ht="69" customHeight="1">
      <x:c r="A24" s="17" t="n">
        <x:v>46262</x:v>
      </x:c>
      <x:c r="B24" s="12" t="str">
        <x:v>000801.SZ</x:v>
      </x:c>
      <x:c r="C24" s="12" t="str">
        <x:v>四川九洲</x:v>
      </x:c>
      <x:c r="D24" s="25" t="str">
        <x:v>sector_broad_diffusion</x:v>
      </x:c>
      <x:c r="E24" s="12" t="str">
        <x:v>active</x:v>
      </x:c>
      <x:c r="F24" s="12" t="str">
        <x:v>confirmed</x:v>
      </x:c>
      <x:c r="G24" s="25" t="str">
        <x:v>黑色家电行业3日和5日均跑赢市场，成员中位数与宽度均为正，成交份额上升且前三只贡献未超过80%。</x:v>
      </x:c>
      <x:c r="H24" s="25" t="str">
        <x:v>黑色家电行业从个别上涨转为多成员持续扩散。</x:v>
      </x:c>
      <x:c r="I24" s="25" t="str">
        <x:v>行业广度、成员中位数、相对收益和成交份额同步为正，个股作为行业前列成员得到价格确认。</x:v>
      </x:c>
      <x:c r="J24" s="25" t="str">
        <x:v>行业9只有效成员中3日全部上涨、5日88.89%上涨，个股5日行业分位约0.875。</x:v>
      </x:c>
      <x:c r="K24" s="25" t="str">
        <x:v>个股3日上涨6.39%、5日上涨7.45%，5日跑赢市场6.64个百分点、跑赢行业4.26个百分点，成交额比1.51。</x:v>
      </x:c>
      <x:c r="L24" s="25" t="str">
        <x:v>20日上涨2.34%、60日位置约0.47，距离再涨20%约需7.93个近期平均波动幅度。</x:v>
      </x:c>
      <x:c r="M24" s="25" t="str">
        <x:v>主营产品与电子音响及卫星电视接收系统直接相关。</x:v>
      </x:c>
      <x:c r="N24" s="25" t="str">
        <x:v>一季度收入增长但利润下降，行业样本较小且贡献集中度不低。</x:v>
      </x:c>
      <x:c r="O24" s="25" t="str">
        <x:v>行业扩散能否在形成日后继续扩大，而不是9只小样本中的短期同步波动。</x:v>
      </x:c>
      <x:c r="P24" s="12"/>
      <x:c r="Q24" s="25" t="str">
        <x:v>["sec-000801","co-000801","px-000801"]</x:v>
      </x:c>
      <x:c r="R24" s="25"/>
    </x:row>
    <x:row r="25" ht="69" customHeight="1">
      <x:c r="A25" s="18" t="n">
        <x:v>46262</x:v>
      </x:c>
      <x:c r="B25" s="14" t="str">
        <x:v>000513.SZ</x:v>
      </x:c>
      <x:c r="C25" s="14" t="str">
        <x:v>丽珠集团</x:v>
      </x:c>
      <x:c r="D25" s="26" t="str">
        <x:v>fresh_event_pending</x:v>
      </x:c>
      <x:c r="E25" s="14" t="str">
        <x:v>conditional</x:v>
      </x:c>
      <x:c r="F25" s="14" t="str">
        <x:v>pending</x:v>
      </x:c>
      <x:c r="G25" s="26" t="str">
        <x:v>公告在形成日收盘后、行动日开盘前可得，形成日价格不可能反映该事件。</x:v>
      </x:c>
      <x:c r="H25" s="26" t="str">
        <x:v>创新生物制剂取得正式药品注册证书。</x:v>
      </x:c>
      <x:c r="I25" s="26" t="str">
        <x:v>实质监管里程碑可能触发首次市场重估，但尚无可用交易日确认。</x:v>
      </x:c>
      <x:c r="J25" s="26" t="str">
        <x:v>从注册获批直接传导至商业化资格，再由行动日实际成交与收盘确认是否被市场接受。</x:v>
      </x:c>
      <x:c r="K25" s="26" t="str">
        <x:v>尚未确认；公告前5日下跌14.15%、跑输市场14.97个百分点。</x:v>
      </x:c>
      <x:c r="L25" s="26" t="str">
        <x:v>公告前20日下跌15.29%，距离再涨20%约需6.72个近期平均波动幅度，空间大但弱势趋势也是强反证。</x:v>
      </x:c>
      <x:c r="M25" s="26" t="str">
        <x:v>获批适应症对应国内超700万银屑病患者，公告引用2025年相关单靶点药物国内终端销售约29.76亿元。</x:v>
      </x:c>
      <x:c r="N25" s="26" t="str">
        <x:v>商业化销售、医保与竞争格局未确定，公告前价格显著弱于市场和行业。</x:v>
      </x:c>
      <x:c r="O25" s="26" t="str">
        <x:v>首次可交易价格能否在正常双向成交下形成有效收盘，而非高开透支或继续弱势。</x:v>
      </x:c>
      <x:c r="P25" s="14" t="str">
        <x:v>px-action-000513</x:v>
      </x:c>
      <x:c r="Q25" s="26" t="str">
        <x:v>["co-000513","px-action-000513"]</x:v>
      </x:c>
      <x:c r="R25" s="26"/>
    </x:row>
    <x:row r="26" ht="69" customHeight="1">
      <x:c r="A26" s="17" t="n">
        <x:v>46262</x:v>
      </x:c>
      <x:c r="B26" s="12" t="str">
        <x:v>301085.SZ</x:v>
      </x:c>
      <x:c r="C26" s="12" t="str">
        <x:v>亚康股份</x:v>
      </x:c>
      <x:c r="D26" s="25" t="str">
        <x:v>fresh_event_pending</x:v>
      </x:c>
      <x:c r="E26" s="12" t="str">
        <x:v>conditional</x:v>
      </x:c>
      <x:c r="F26" s="12" t="str">
        <x:v>pending</x:v>
      </x:c>
      <x:c r="G26" s="25" t="str">
        <x:v>公告在8月27日17:48后可得，形成日收盘没有事件后交易价格。</x:v>
      </x:c>
      <x:c r="H26" s="25" t="str">
        <x:v>下属公司签署长期通用算力服务重大合同。</x:v>
      </x:c>
      <x:c r="I26" s="25" t="str">
        <x:v>重大合同带来可见服务期与预付结算安排，可能触发对未来收入路径的首次重估。</x:v>
      </x:c>
      <x:c r="J26" s="25" t="str">
        <x:v>由合同金额、不可随意缩短的60个月期限和月度预付安排传导到订单可见性，再由首次交易确认。</x:v>
      </x:c>
      <x:c r="K26" s="25" t="str">
        <x:v>尚未确认；公告前5日下跌1.05%、跑输市场1.87个百分点，成交额仅为20日均值0.62倍。</x:v>
      </x:c>
      <x:c r="L26" s="25" t="str">
        <x:v>公告前20日上涨7.87%，距离再涨20%约需3.30个近期平均波动幅度，空间不算宽。</x:v>
      </x:c>
      <x:c r="M26" s="25" t="str">
        <x:v>2025年收入约13.42亿元且亏损，合同名义金额大但跨五年履行。</x:v>
      </x:c>
      <x:c r="N26" s="25" t="str">
        <x:v>客户匿名、合同期长、交付验收和客户履约均有不确定性，公司2025年仍亏损。</x:v>
      </x:c>
      <x:c r="O26" s="25" t="str">
        <x:v>首个交易日能否在不过度高开的前提下得到成交与有效收盘确认。</x:v>
      </x:c>
      <x:c r="P26" s="12" t="str">
        <x:v>px-action-301085</x:v>
      </x:c>
      <x:c r="Q26" s="25" t="str">
        <x:v>["co-301085","px-action-301085"]</x:v>
      </x:c>
      <x:c r="R26" s="25"/>
    </x:row>
    <x:row r="27" ht="69" customHeight="1">
      <x:c r="A27" s="18" t="n">
        <x:v>46265</x:v>
      </x:c>
      <x:c r="B27" s="14" t="str">
        <x:v>002430.SZ</x:v>
      </x:c>
      <x:c r="C27" s="14" t="str">
        <x:v>杭氧股份</x:v>
      </x:c>
      <x:c r="D27" s="26" t="str">
        <x:v>independent_demand_acceleration</x:v>
      </x:c>
      <x:c r="E27" s="14" t="str">
        <x:v>active</x:v>
      </x:c>
      <x:c r="F27" s="14" t="str">
        <x:v>confirmed</x:v>
      </x:c>
      <x:c r="G27" s="26" t="str">
        <x:v>3日和5日分别跑赢市场11.19和12.85个百分点，同期跑赢行业9.46和10.29个百分点，成交放大且收盘推进高效。</x:v>
      </x:c>
      <x:c r="H27" s="26" t="str">
        <x:v>形成日前个股需求连续加速，并有半年经营增长支撑。</x:v>
      </x:c>
      <x:c r="I27" s="26" t="str">
        <x:v>多日相对强势、成交显著放大与高价量效率共同确认独立需求加速。</x:v>
      </x:c>
      <x:c r="J27" s="26" t="str">
        <x:v>由个股自身成交和收盘推进传导，不依赖单日涨停。</x:v>
      </x:c>
      <x:c r="K27" s="26" t="str">
        <x:v>截至8月28日，3日涨12.45%、5日涨12.64%，成交额为20日均值3.21倍，5日价量效率0.948。</x:v>
      </x:c>
      <x:c r="L27" s="26" t="str">
        <x:v>60日位置约0.37，距离再涨20%约需7.62个近期平均波动幅度，但近5日涨幅已高。</x:v>
      </x:c>
      <x:c r="M27" s="26" t="str">
        <x:v>主营直接，半年收入和归母净利润同比分别增长18.63%和17.55%。</x:v>
      </x:c>
      <x:c r="N27" s="26" t="str">
        <x:v>经营现金流同比小幅下降，且近5日需求加速可能快速降温。</x:v>
      </x:c>
      <x:c r="O27" s="26" t="str">
        <x:v>高成交与高效率能否继续形成多个有效收盘，而非短期透支。</x:v>
      </x:c>
      <x:c r="P27" s="14"/>
      <x:c r="Q27" s="26" t="str">
        <x:v>["co-002430","px-002430"]</x:v>
      </x:c>
      <x:c r="R27" s="26"/>
    </x:row>
    <x:row r="28" ht="69" customHeight="1">
      <x:c r="A28" s="17" t="n">
        <x:v>46265</x:v>
      </x:c>
      <x:c r="B28" s="12" t="str">
        <x:v>300910.SZ</x:v>
      </x:c>
      <x:c r="C28" s="12" t="str">
        <x:v>瑞丰新材</x:v>
      </x:c>
      <x:c r="D28" s="25" t="str">
        <x:v>sector_broad_diffusion</x:v>
      </x:c>
      <x:c r="E28" s="12" t="str">
        <x:v>active</x:v>
      </x:c>
      <x:c r="F28" s="12" t="str">
        <x:v>confirmed</x:v>
      </x:c>
      <x:c r="G28" s="25" t="str">
        <x:v>行业3日、5日中位收益和相对市场收益均为正，成交占比上升；个股5日行业分位约0.989。</x:v>
      </x:c>
      <x:c r="H28" s="25" t="str">
        <x:v>化学制品组多数成分共同走强，成交占比同步上升。</x:v>
      </x:c>
      <x:c r="I28" s="25" t="str">
        <x:v>行业广泛扩散与个股领先的多日价量确认叠加。</x:v>
      </x:c>
      <x:c r="J28" s="25" t="str">
        <x:v>从行业多数成分向组内领先股传导，贡献不集中于少数大市值股。</x:v>
      </x:c>
      <x:c r="K28" s="25" t="str">
        <x:v>截至8月28日，3日涨13.27%、5日涨14.35%，成交额比2.21，价量效率1.0，无涨停贡献。</x:v>
      </x:c>
      <x:c r="L28" s="25" t="str">
        <x:v>60日位置约0.41，60日仍下跌约10.57%，长周期位置未到极端，但近5日已快速上涨。</x:v>
      </x:c>
      <x:c r="M28" s="25" t="str">
        <x:v>主营润滑油添加剂与行业直接相关，负债率较低。</x:v>
      </x:c>
      <x:c r="N28" s="25" t="str">
        <x:v>一季度归母净利润同比下降28.22%，价格需求尚缺少利润增量配合。</x:v>
      </x:c>
      <x:c r="O28" s="25" t="str">
        <x:v>行业扩散能否继续，以及个股是否会因近5日快速上涨出现路径耗尽。</x:v>
      </x:c>
      <x:c r="P28" s="12"/>
      <x:c r="Q28" s="25" t="str">
        <x:v>["sec-300910","co-300910","px-300910"]</x:v>
      </x:c>
      <x:c r="R28" s="25"/>
    </x:row>
    <x:row r="29" ht="69" customHeight="1">
      <x:c r="A29" s="18" t="n">
        <x:v>46265</x:v>
      </x:c>
      <x:c r="B29" s="14" t="str">
        <x:v>600150.SH</x:v>
      </x:c>
      <x:c r="C29" s="14" t="str">
        <x:v>中国船舶</x:v>
      </x:c>
      <x:c r="D29" s="26" t="str">
        <x:v>fresh_event_pending</x:v>
      </x:c>
      <x:c r="E29" s="14" t="str">
        <x:v>conditional</x:v>
      </x:c>
      <x:c r="F29" s="14" t="str">
        <x:v>pending</x:v>
      </x:c>
      <x:c r="G29" s="26" t="str">
        <x:v>合同公告在8月28日收盘后公开，截至冻结时点没有任何合法的8月31日价格反应可供确认。</x:v>
      </x:c>
      <x:c r="H29" s="26" t="str">
        <x:v>形成日收盘后首次披露并已生效的大额船舶合同。</x:v>
      </x:c>
      <x:c r="I29" s="26" t="str">
        <x:v>若首个可观察交易日出现正常双向成交、相对市场与行业走强并有效收盘，新信息才转为可行动的重定价。</x:v>
      </x:c>
      <x:c r="J29" s="26" t="str">
        <x:v>从已签署合同向远期订单和交付预期传导，但短期价格传导尚未可观察。</x:v>
      </x:c>
      <x:c r="K29" s="26" t="str">
        <x:v>事件后可观察交易日为0；未读取8月31日开盘或盘中行情，必须由原行动条件后续判定。</x:v>
      </x:c>
      <x:c r="L29" s="26" t="str">
        <x:v>事件前5日上涨3.27%、20日下跌1.14%，60日位置约0.53，价格未明显透支该新信息。</x:v>
      </x:c>
      <x:c r="M29" s="26" t="str">
        <x:v>官方公告的已生效造船合同与主营直接相关；一季度收入和利润同比增长。</x:v>
      </x:c>
      <x:c r="N29" s="26" t="str">
        <x:v>交付集中在2028至2030年，公司明确称对当期利润无重大影响，远期履约仍有风险。</x:v>
      </x:c>
      <x:c r="O29" s="26" t="str">
        <x:v>首个可观察交易日是否会真正出现相对强势和有效收盘，而非高开透支。</x:v>
      </x:c>
      <x:c r="P29" s="14" t="str">
        <x:v>act-600150</x:v>
      </x:c>
      <x:c r="Q29" s="26" t="str">
        <x:v>["ev-600150","act-600150"]</x:v>
      </x:c>
      <x:c r="R29" s="26"/>
    </x:row>
    <x:row r="30" ht="69" customHeight="1">
      <x:c r="A30" s="17" t="n">
        <x:v>46265</x:v>
      </x:c>
      <x:c r="B30" s="12" t="str">
        <x:v>000928.SZ</x:v>
      </x:c>
      <x:c r="C30" s="12" t="str">
        <x:v>中钢国际</x:v>
      </x:c>
      <x:c r="D30" s="25" t="str">
        <x:v>independent_demand_acceleration</x:v>
      </x:c>
      <x:c r="E30" s="12" t="str">
        <x:v>active</x:v>
      </x:c>
      <x:c r="F30" s="12" t="str">
        <x:v>confirmed</x:v>
      </x:c>
      <x:c r="G30" s="25" t="str">
        <x:v>1日、3日、5日均跑赢市场，5日跑赢行业5.03个百分点，成交放大与收盘效率同步改善。</x:v>
      </x:c>
      <x:c r="H30" s="25" t="str">
        <x:v>形成日前个股从低位出现连续相对强势与成交放大。</x:v>
      </x:c>
      <x:c r="I30" s="25" t="str">
        <x:v>尚未突破前高的初始启动，以多日相对收益和高价量效率确认。</x:v>
      </x:c>
      <x:c r="J30" s="25" t="str">
        <x:v>由个股自身价量推进，行业仅作相对基准而非推理来源。</x:v>
      </x:c>
      <x:c r="K30" s="25" t="str">
        <x:v>截至8月28日，5日涨7.49%，跑赢市场7.70个百分点、行业5.03个百分点，成交额比2.24。</x:v>
      </x:c>
      <x:c r="L30" s="25" t="str">
        <x:v>60日位置约0.49，60日仍下跌7.49%，距离再涨20%约需11个近期平均波动幅度。</x:v>
      </x:c>
      <x:c r="M30" s="25" t="str">
        <x:v>工程服务主营可核验，上半年经营现金流同比改善。</x:v>
      </x:c>
      <x:c r="N30" s="25" t="str">
        <x:v>上半年收入和利润同比小幅下降，价格启动缺少同期利润增量。</x:v>
      </x:c>
      <x:c r="O30" s="25" t="str">
        <x:v>初始启动能否继续逼近前高，还是在突破前转为区间噪声。</x:v>
      </x:c>
      <x:c r="P30" s="12"/>
      <x:c r="Q30" s="25" t="str">
        <x:v>["co-000928","px-000928"]</x:v>
      </x:c>
      <x:c r="R30" s="25"/>
    </x:row>
  </x:sheetData>
  <x:pageMargins left="0.7" right="0.7" top="0.75" bottom="0.75" header="0.3" footer="0.3"/>
  <x:tableParts count="1">
    <x:tablePart xmlns:r="http://schemas.openxmlformats.org/officeDocument/2006/relationships" r:id="R24b5e7dad3ca46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9.779999732971191" hidden="0" customWidth="1"/>
    <x:col min="4" max="4" width="16.110000610351562" hidden="0" customWidth="1"/>
    <x:col min="5" max="5" width="21.110000610351562" hidden="0" customWidth="1"/>
    <x:col min="6" max="6" width="11.109999656677246" hidden="0" customWidth="1"/>
    <x:col min="7" max="7" width="16.110000610351562" hidden="0" customWidth="1"/>
    <x:col min="8" max="8" width="11.670000076293945" hidden="0" customWidth="1"/>
    <x:col min="9" max="9" width="23.889999389648438" hidden="0" customWidth="1"/>
    <x:col min="10" max="10" width="21.110000610351562" hidden="0" customWidth="1"/>
    <x:col min="11" max="11" width="62.220001220703125" hidden="0" customWidth="1"/>
  </x:cols>
  <x:sheetData>
    <x:row r="1" ht="25.5" customHeight="1">
      <x:c r="A1" s="16" t="str">
        <x:v>形成日</x:v>
      </x:c>
      <x:c r="B1" s="16" t="str">
        <x:v>行动日</x:v>
      </x:c>
      <x:c r="C1" s="11" t="str">
        <x:v>代码</x:v>
      </x:c>
      <x:c r="D1" s="11" t="str">
        <x:v>决策ID</x:v>
      </x:c>
      <x:c r="E1" s="11" t="str">
        <x:v>来源Skill</x:v>
      </x:c>
      <x:c r="F1" s="11" t="str">
        <x:v>作用</x:v>
      </x:c>
      <x:c r="G1" s="11" t="str">
        <x:v>证据状态</x:v>
      </x:c>
      <x:c r="H1" s="11" t="str">
        <x:v>决策变化</x:v>
      </x:c>
      <x:c r="I1" s="11" t="str">
        <x:v>证据ID</x:v>
      </x:c>
      <x:c r="J1" s="11" t="str">
        <x:v>证据版本</x:v>
      </x:c>
      <x:c r="K1" s="11" t="str">
        <x:v>形成日数值</x:v>
      </x:c>
    </x:row>
    <x:row r="2" ht="51" customHeight="1">
      <x:c r="A2" s="17" t="n">
        <x:v>46254</x:v>
      </x:c>
      <x:c r="B2" s="17" t="n">
        <x:v>46255</x:v>
      </x:c>
      <x:c r="C2" s="12" t="str">
        <x:v>600737.SH</x:v>
      </x:c>
      <x:c r="D2" s="12"/>
      <x:c r="E2" s="25" t="str">
        <x:v>interpreting-market-macro</x:v>
      </x:c>
      <x:c r="F2" s="12" t="str">
        <x:v>counter</x:v>
      </x:c>
      <x:c r="G2" s="25" t="str">
        <x:v>observation_only</x:v>
      </x:c>
      <x:c r="H2" s="12" t="str">
        <x:v>no_change</x:v>
      </x:c>
      <x:c r="I2" s="25" t="str">
        <x:v>market-context-v3</x:v>
      </x:c>
      <x:c r="J2" s="25" t="str">
        <x:v>market-context-v3</x:v>
      </x:c>
      <x:c r="K2" s="25" t="str">
        <x:v>{"breadth_1d":0.748977,"equal_weight_return_1d":0.012805,"equal_weight_return_5d":-0.012079,"turnover_ratio_20d":0.8905}</x:v>
      </x:c>
    </x:row>
    <x:row r="3" ht="51" customHeight="1">
      <x:c r="A3" s="18" t="n">
        <x:v>46254</x:v>
      </x:c>
      <x:c r="B3" s="18" t="n">
        <x:v>46255</x:v>
      </x:c>
      <x:c r="C3" s="14" t="str">
        <x:v>600737.SH</x:v>
      </x:c>
      <x:c r="D3" s="14"/>
      <x:c r="E3" s="26" t="str">
        <x:v>researching-sectors-industries</x:v>
      </x:c>
      <x:c r="F3" s="14" t="str">
        <x:v>support</x:v>
      </x:c>
      <x:c r="G3" s="26" t="str">
        <x:v>supported_with_boundary</x:v>
      </x:c>
      <x:c r="H3" s="14" t="str">
        <x:v>created_lead</x:v>
      </x:c>
      <x:c r="I3" s="26" t="str">
        <x:v>sector-hotspot-v3</x:v>
      </x:c>
      <x:c r="J3" s="26" t="str">
        <x:v>sector-hotspot-v3</x:v>
      </x:c>
      <x:c r="K3" s="26" t="str">
        <x:v>{"group_breadth_20d":0.9615,"group_breadth_5d":0.6154,"group_name":"农产品加工","group_return_20d":0.165187,"group_return_5d":0.055667}</x:v>
      </x:c>
    </x:row>
    <x:row r="4" ht="51" customHeight="1">
      <x:c r="A4" s="17" t="n">
        <x:v>46254</x:v>
      </x:c>
      <x:c r="B4" s="17" t="n">
        <x:v>46255</x:v>
      </x:c>
      <x:c r="C4" s="12" t="str">
        <x:v>600737.SH</x:v>
      </x:c>
      <x:c r="D4" s="12"/>
      <x:c r="E4" s="25" t="str">
        <x:v>analyzing-price-trading</x:v>
      </x:c>
      <x:c r="F4" s="12" t="str">
        <x:v>support</x:v>
      </x:c>
      <x:c r="G4" s="25" t="str">
        <x:v>supported_with_boundary</x:v>
      </x:c>
      <x:c r="H4" s="12" t="str">
        <x:v>promoted</x:v>
      </x:c>
      <x:c r="I4" s="25" t="str">
        <x:v>trend_continuation</x:v>
      </x:c>
      <x:c r="J4" s="25" t="str">
        <x:v>price-analysis-context-v2</x:v>
      </x:c>
      <x:c r="K4" s="25" t="str">
        <x:v>{"relative_continuity_5d":1,"relative_industry_return_5d":0.19532,"return_5d":0.250987,"volume_price_efficiency_5d":0.8818}</x:v>
      </x:c>
    </x:row>
    <x:row r="5" ht="51" customHeight="1">
      <x:c r="A5" s="18" t="n">
        <x:v>46254</x:v>
      </x:c>
      <x:c r="B5" s="18" t="n">
        <x:v>46255</x:v>
      </x:c>
      <x:c r="C5" s="14" t="str">
        <x:v>600737.SH</x:v>
      </x:c>
      <x:c r="D5" s="14"/>
      <x:c r="E5" s="26" t="str">
        <x:v>analyzing-price-trading</x:v>
      </x:c>
      <x:c r="F5" s="14" t="str">
        <x:v>counter</x:v>
      </x:c>
      <x:c r="G5" s="26" t="str">
        <x:v>provisional</x:v>
      </x:c>
      <x:c r="H5" s="14" t="str">
        <x:v>no_change</x:v>
      </x:c>
      <x:c r="I5" s="26" t="str">
        <x:v>confirmed_breakout</x:v>
      </x:c>
      <x:c r="J5" s="26" t="str">
        <x:v>price-analysis-context-v2</x:v>
      </x:c>
      <x:c r="K5" s="26" t="str">
        <x:v>{"limit_up_return_contribution_5d":0.4128,"price_location_60d":1,"return_20d":0.298116,"target_atr_distance_20pct":3.909}</x:v>
      </x:c>
    </x:row>
    <x:row r="6" ht="51" customHeight="1">
      <x:c r="A6" s="17" t="n">
        <x:v>46254</x:v>
      </x:c>
      <x:c r="B6" s="17" t="n">
        <x:v>46255</x:v>
      </x:c>
      <x:c r="C6" s="12" t="str">
        <x:v>600601.SH</x:v>
      </x:c>
      <x:c r="D6" s="12"/>
      <x:c r="E6" s="25" t="str">
        <x:v>researching-company-events</x:v>
      </x:c>
      <x:c r="F6" s="12" t="str">
        <x:v>support</x:v>
      </x:c>
      <x:c r="G6" s="25" t="str">
        <x:v>supported_with_boundary</x:v>
      </x:c>
      <x:c r="H6" s="12" t="str">
        <x:v>created_lead</x:v>
      </x:c>
      <x:c r="I6" s="25" t="str">
        <x:v>2026H1-income-cashflow</x:v>
      </x:c>
      <x:c r="J6" s="25" t="str">
        <x:v>report-period-2026-06-30</x:v>
      </x:c>
      <x:c r="K6" s="25" t="str">
        <x:v>{"operating_cashflow_yuan_100m":5.118,"parent_profit_yoy_pct":232.38,"parent_profit_yuan_100m":5.736,"revenue_yoy_pct":72.89,"revenue_yuan_100m":37}</x:v>
      </x:c>
    </x:row>
    <x:row r="7" ht="51" customHeight="1">
      <x:c r="A7" s="18" t="n">
        <x:v>46254</x:v>
      </x:c>
      <x:c r="B7" s="18" t="n">
        <x:v>46255</x:v>
      </x:c>
      <x:c r="C7" s="14" t="str">
        <x:v>600601.SH</x:v>
      </x:c>
      <x:c r="D7" s="14"/>
      <x:c r="E7" s="26" t="str">
        <x:v>analyzing-price-trading</x:v>
      </x:c>
      <x:c r="F7" s="14" t="str">
        <x:v>action_condition</x:v>
      </x:c>
      <x:c r="G7" s="26" t="str">
        <x:v>supported_with_boundary</x:v>
      </x:c>
      <x:c r="H7" s="14" t="str">
        <x:v>promoted</x:v>
      </x:c>
      <x:c r="I7" s="26" t="str">
        <x:v>raw_price</x:v>
      </x:c>
      <x:c r="J7" s="26" t="str">
        <x:v>price-analysis-context-v2</x:v>
      </x:c>
      <x:c r="K7" s="26" t="str">
        <x:v>{"price_location_60d":0.565,"return_1d":0.00163,"return_20d":0.16999,"return_5d":-0.02067,"return_60d":-0.05521,"target_atr_distance_20pct":3.339}</x:v>
      </x:c>
    </x:row>
    <x:row r="8" ht="51" customHeight="1">
      <x:c r="A8" s="17" t="n">
        <x:v>46254</x:v>
      </x:c>
      <x:c r="B8" s="17" t="n">
        <x:v>46255</x:v>
      </x:c>
      <x:c r="C8" s="12" t="str">
        <x:v>603993.SH</x:v>
      </x:c>
      <x:c r="D8" s="12"/>
      <x:c r="E8" s="25" t="str">
        <x:v>researching-company-events</x:v>
      </x:c>
      <x:c r="F8" s="12" t="str">
        <x:v>support</x:v>
      </x:c>
      <x:c r="G8" s="25" t="str">
        <x:v>supported_with_boundary</x:v>
      </x:c>
      <x:c r="H8" s="12" t="str">
        <x:v>created_lead</x:v>
      </x:c>
      <x:c r="I8" s="25" t="str">
        <x:v>2026H1-income-cashflow</x:v>
      </x:c>
      <x:c r="J8" s="25" t="str">
        <x:v>report-period-2026-06-30</x:v>
      </x:c>
      <x:c r="K8" s="25" t="str">
        <x:v>{"operating_cashflow_yuan_100m":163.337,"parent_profit_yoy_pct":86.27,"parent_profit_yuan_100m":161.522,"revenue_yoy_pct":42.78,"revenue_yuan_100m":1353.199}</x:v>
      </x:c>
    </x:row>
    <x:row r="9" ht="51" customHeight="1">
      <x:c r="A9" s="18" t="n">
        <x:v>46254</x:v>
      </x:c>
      <x:c r="B9" s="18" t="n">
        <x:v>46255</x:v>
      </x:c>
      <x:c r="C9" s="14" t="str">
        <x:v>603993.SH</x:v>
      </x:c>
      <x:c r="D9" s="14"/>
      <x:c r="E9" s="26" t="str">
        <x:v>analyzing-price-trading</x:v>
      </x:c>
      <x:c r="F9" s="14" t="str">
        <x:v>action_condition</x:v>
      </x:c>
      <x:c r="G9" s="26" t="str">
        <x:v>supported_with_boundary</x:v>
      </x:c>
      <x:c r="H9" s="14" t="str">
        <x:v>promoted</x:v>
      </x:c>
      <x:c r="I9" s="26" t="str">
        <x:v>raw_price</x:v>
      </x:c>
      <x:c r="J9" s="26" t="str">
        <x:v>price-analysis-context-v2</x:v>
      </x:c>
      <x:c r="K9" s="26" t="str">
        <x:v>{"pe_ttm":14.05,"price_location_60d":0.305,"return_1d":0.015,"return_20d":-0.08787,"return_5d":-0.0076,"target_atr_distance_20pct":4.254}</x:v>
      </x:c>
    </x:row>
    <x:row r="10" ht="51" customHeight="1">
      <x:c r="A10" s="17" t="n">
        <x:v>46254</x:v>
      </x:c>
      <x:c r="B10" s="17" t="n">
        <x:v>46255</x:v>
      </x:c>
      <x:c r="C10" s="12" t="str">
        <x:v>603969.SH</x:v>
      </x:c>
      <x:c r="D10" s="12"/>
      <x:c r="E10" s="25" t="str">
        <x:v>analyzing-price-trading</x:v>
      </x:c>
      <x:c r="F10" s="12" t="str">
        <x:v>discovery</x:v>
      </x:c>
      <x:c r="G10" s="25" t="str">
        <x:v>provisional</x:v>
      </x:c>
      <x:c r="H10" s="12" t="str">
        <x:v>created_lead</x:v>
      </x:c>
      <x:c r="I10" s="25" t="str">
        <x:v>initial_activation</x:v>
      </x:c>
      <x:c r="J10" s="25" t="str">
        <x:v>price-analysis-context-v2</x:v>
      </x:c>
      <x:c r="K10" s="25" t="str">
        <x:v>{"price_location_60d":0.309,"relative_industry_return_5d":0.04309,"return_20d":-0.02165,"return_5d":0.02845,"target_atr_distance_20pct":5.092}</x:v>
      </x:c>
    </x:row>
    <x:row r="11" ht="51" customHeight="1">
      <x:c r="A11" s="18" t="n">
        <x:v>46254</x:v>
      </x:c>
      <x:c r="B11" s="18" t="n">
        <x:v>46255</x:v>
      </x:c>
      <x:c r="C11" s="14" t="str">
        <x:v>603969.SH</x:v>
      </x:c>
      <x:c r="D11" s="14"/>
      <x:c r="E11" s="26" t="str">
        <x:v>researching-company-events</x:v>
      </x:c>
      <x:c r="F11" s="14" t="str">
        <x:v>support</x:v>
      </x:c>
      <x:c r="G11" s="26" t="str">
        <x:v>supported_with_boundary</x:v>
      </x:c>
      <x:c r="H11" s="14" t="str">
        <x:v>promoted</x:v>
      </x:c>
      <x:c r="I11" s="26" t="str">
        <x:v>2026H1-income-cashflow</x:v>
      </x:c>
      <x:c r="J11" s="26" t="str">
        <x:v>report-period-2026-06-30</x:v>
      </x:c>
      <x:c r="K11" s="26" t="str">
        <x:v>{"operating_cashflow_yuan_100m":0.479,"parent_profit_yoy_pct":40.35,"parent_profit_yuan_100m":2.41,"prior_operating_cashflow_yuan_100m":0.004,"revenue_yoy_pct":7.96,"revenue_yuan_100m":15.906}</x:v>
      </x:c>
    </x:row>
    <x:row r="12" ht="51" customHeight="1">
      <x:c r="A12" s="17" t="n">
        <x:v>46254</x:v>
      </x:c>
      <x:c r="B12" s="17" t="n">
        <x:v>46255</x:v>
      </x:c>
      <x:c r="C12" s="12" t="str">
        <x:v>600111.SH</x:v>
      </x:c>
      <x:c r="D12" s="12"/>
      <x:c r="E12" s="25" t="str">
        <x:v>researching-company-events</x:v>
      </x:c>
      <x:c r="F12" s="12" t="str">
        <x:v>comparison</x:v>
      </x:c>
      <x:c r="G12" s="25" t="str">
        <x:v>supported_with_boundary</x:v>
      </x:c>
      <x:c r="H12" s="12" t="str">
        <x:v>created_lead</x:v>
      </x:c>
      <x:c r="I12" s="25" t="str">
        <x:v>2026H1-income-cashflow</x:v>
      </x:c>
      <x:c r="J12" s="25" t="str">
        <x:v>report-period-2026-06-30</x:v>
      </x:c>
      <x:c r="K12" s="25" t="str">
        <x:v>{"operating_cashflow_yuan_100m":12.083,"parent_profit_yoy_pct":120.46,"parent_profit_yuan_100m":20.532,"revenue_yoy_pct":36.75}</x:v>
      </x:c>
    </x:row>
    <x:row r="13" ht="51" customHeight="1">
      <x:c r="A13" s="18" t="n">
        <x:v>46254</x:v>
      </x:c>
      <x:c r="B13" s="18" t="n">
        <x:v>46255</x:v>
      </x:c>
      <x:c r="C13" s="14" t="str">
        <x:v>600111.SH</x:v>
      </x:c>
      <x:c r="D13" s="14"/>
      <x:c r="E13" s="26" t="str">
        <x:v>analyzing-price-trading</x:v>
      </x:c>
      <x:c r="F13" s="14" t="str">
        <x:v>counter</x:v>
      </x:c>
      <x:c r="G13" s="26" t="str">
        <x:v>supported_with_boundary</x:v>
      </x:c>
      <x:c r="H13" s="14" t="str">
        <x:v>demoted</x:v>
      </x:c>
      <x:c r="I13" s="26" t="str">
        <x:v>raw_price</x:v>
      </x:c>
      <x:c r="J13" s="26" t="str">
        <x:v>price-analysis-context-v2</x:v>
      </x:c>
      <x:c r="K13" s="26" t="str">
        <x:v>{"pe_ttm":42.6,"relative_industry_return_5d":-0.01236,"return_1d":-0.03141,"return_20d":-0.01217,"return_5d":-0.03023,"target_atr_distance_20pct":5.718}</x:v>
      </x:c>
    </x:row>
    <x:row r="14" ht="51" customHeight="1">
      <x:c r="A14" s="17" t="n">
        <x:v>46254</x:v>
      </x:c>
      <x:c r="B14" s="17" t="n">
        <x:v>46255</x:v>
      </x:c>
      <x:c r="C14" s="12" t="str">
        <x:v>300936.SZ</x:v>
      </x:c>
      <x:c r="D14" s="12"/>
      <x:c r="E14" s="25" t="str">
        <x:v>researching-company-events</x:v>
      </x:c>
      <x:c r="F14" s="12" t="str">
        <x:v>support</x:v>
      </x:c>
      <x:c r="G14" s="25" t="str">
        <x:v>supported_with_boundary</x:v>
      </x:c>
      <x:c r="H14" s="12" t="str">
        <x:v>created_lead</x:v>
      </x:c>
      <x:c r="I14" s="25" t="str">
        <x:v>cninfo-1225486982</x:v>
      </x:c>
      <x:c r="J14" s="25" t="str">
        <x:v>major-asset-purchase-summary-2026-08-20</x:v>
      </x:c>
      <x:c r="K14" s="25" t="str">
        <x:v>{"cash_purchase_yuan_100m":5.5998,"equity_share_pct":51,"target_2025_revenue_yuan_100m":3.8532,"target_revenue_vs_listed_pct":170.4}</x:v>
      </x:c>
    </x:row>
    <x:row r="15" ht="51" customHeight="1">
      <x:c r="A15" s="18" t="n">
        <x:v>46254</x:v>
      </x:c>
      <x:c r="B15" s="18" t="n">
        <x:v>46255</x:v>
      </x:c>
      <x:c r="C15" s="14" t="str">
        <x:v>300936.SZ</x:v>
      </x:c>
      <x:c r="D15" s="14"/>
      <x:c r="E15" s="26" t="str">
        <x:v>researching-company-events</x:v>
      </x:c>
      <x:c r="F15" s="14" t="str">
        <x:v>counter</x:v>
      </x:c>
      <x:c r="G15" s="26" t="str">
        <x:v>supported_with_boundary</x:v>
      </x:c>
      <x:c r="H15" s="14" t="str">
        <x:v>demoted</x:v>
      </x:c>
      <x:c r="I15" s="26" t="str">
        <x:v>cninfo-1225486982</x:v>
      </x:c>
      <x:c r="J15" s="26" t="str">
        <x:v>major-asset-purchase-summary-2026-08-20</x:v>
      </x:c>
      <x:c r="K15" s="26" t="str">
        <x:v>{"goodwill_yuan_100m":3.7225,"proforma_debt_ratio_after_pct":42.9,"proforma_debt_ratio_before_pct":12.16,"shareholder_approval_pending":true,"valuation_uplift_pct":198.56}</x:v>
      </x:c>
    </x:row>
    <x:row r="16" ht="51" customHeight="1">
      <x:c r="A16" s="17" t="n">
        <x:v>46254</x:v>
      </x:c>
      <x:c r="B16" s="17" t="n">
        <x:v>46255</x:v>
      </x:c>
      <x:c r="C16" s="12" t="str">
        <x:v>300936.SZ</x:v>
      </x:c>
      <x:c r="D16" s="12"/>
      <x:c r="E16" s="25" t="str">
        <x:v>analyzing-price-trading</x:v>
      </x:c>
      <x:c r="F16" s="12" t="str">
        <x:v>counter</x:v>
      </x:c>
      <x:c r="G16" s="25" t="str">
        <x:v>supported_with_boundary</x:v>
      </x:c>
      <x:c r="H16" s="12" t="str">
        <x:v>rejected</x:v>
      </x:c>
      <x:c r="I16" s="25" t="str">
        <x:v>trend_continuation</x:v>
      </x:c>
      <x:c r="J16" s="25" t="str">
        <x:v>price-analysis-context-v2</x:v>
      </x:c>
      <x:c r="K16" s="25" t="str">
        <x:v>{"announcement_time":"2026-08-20T19:34:27+08:00","return_1d":0.10024,"return_20d":0.37826,"return_5d":0.13876,"target_atr_distance_20pct":2.74}</x:v>
      </x:c>
    </x:row>
    <x:row r="17" ht="51" customHeight="1">
      <x:c r="A17" s="18" t="n">
        <x:v>46254</x:v>
      </x:c>
      <x:c r="B17" s="18" t="n">
        <x:v>46255</x:v>
      </x:c>
      <x:c r="C17" s="14" t="str">
        <x:v>002852.SZ</x:v>
      </x:c>
      <x:c r="D17" s="14"/>
      <x:c r="E17" s="26" t="str">
        <x:v>researching-sectors-industries</x:v>
      </x:c>
      <x:c r="F17" s="14" t="str">
        <x:v>comparison</x:v>
      </x:c>
      <x:c r="G17" s="26" t="str">
        <x:v>supported_with_boundary</x:v>
      </x:c>
      <x:c r="H17" s="14" t="str">
        <x:v>created_lead</x:v>
      </x:c>
      <x:c r="I17" s="26" t="str">
        <x:v>sector-hotspot-v3</x:v>
      </x:c>
      <x:c r="J17" s="26" t="str">
        <x:v>sector-hotspot-v3</x:v>
      </x:c>
      <x:c r="K17" s="26" t="str">
        <x:v>{"group_breadth_20d":0.9615,"group_breadth_5d":0.6154,"group_name":"农产品加工"}</x:v>
      </x:c>
    </x:row>
    <x:row r="18" ht="51" customHeight="1">
      <x:c r="A18" s="17" t="n">
        <x:v>46254</x:v>
      </x:c>
      <x:c r="B18" s="17" t="n">
        <x:v>46255</x:v>
      </x:c>
      <x:c r="C18" s="12" t="str">
        <x:v>002852.SZ</x:v>
      </x:c>
      <x:c r="D18" s="12"/>
      <x:c r="E18" s="25" t="str">
        <x:v>researching-company-events</x:v>
      </x:c>
      <x:c r="F18" s="12" t="str">
        <x:v>counter</x:v>
      </x:c>
      <x:c r="G18" s="25" t="str">
        <x:v>supported_with_boundary</x:v>
      </x:c>
      <x:c r="H18" s="12" t="str">
        <x:v>demoted</x:v>
      </x:c>
      <x:c r="I18" s="25" t="str">
        <x:v>2026H1-income-cashflow</x:v>
      </x:c>
      <x:c r="J18" s="25" t="str">
        <x:v>report-period-2026-06-30</x:v>
      </x:c>
      <x:c r="K18" s="25" t="str">
        <x:v>{"operating_cashflow_yuan_100m":-2.121,"parent_profit_yoy_pct":-90.68,"revenue_yoy_pct":2.59}</x:v>
      </x:c>
    </x:row>
    <x:row r="19" ht="51" customHeight="1">
      <x:c r="A19" s="18" t="n">
        <x:v>46254</x:v>
      </x:c>
      <x:c r="B19" s="18" t="n">
        <x:v>46255</x:v>
      </x:c>
      <x:c r="C19" s="14" t="str">
        <x:v>002852.SZ</x:v>
      </x:c>
      <x:c r="D19" s="14"/>
      <x:c r="E19" s="26" t="str">
        <x:v>analyzing-price-trading</x:v>
      </x:c>
      <x:c r="F19" s="14" t="str">
        <x:v>comparison</x:v>
      </x:c>
      <x:c r="G19" s="26" t="str">
        <x:v>supported_with_boundary</x:v>
      </x:c>
      <x:c r="H19" s="14" t="str">
        <x:v>rejected</x:v>
      </x:c>
      <x:c r="I19" s="26" t="str">
        <x:v>trend_continuation</x:v>
      </x:c>
      <x:c r="J19" s="26" t="str">
        <x:v>price-analysis-context-v2</x:v>
      </x:c>
      <x:c r="K19" s="26" t="str">
        <x:v>{"limit_up_return_contribution_5d":0,"relative_industry_return_5d":0.03559,"return_20d":0.15825,"return_5d":0.09126,"target_atr_distance_20pct":6.444,"volume_price_efficiency_5d":0.9897}</x:v>
      </x:c>
    </x:row>
    <x:row r="20" ht="51" customHeight="1">
      <x:c r="A20" s="17" t="n">
        <x:v>46254</x:v>
      </x:c>
      <x:c r="B20" s="17" t="n">
        <x:v>46255</x:v>
      </x:c>
      <x:c r="C20" s="12" t="str">
        <x:v>300153.SZ</x:v>
      </x:c>
      <x:c r="D20" s="12"/>
      <x:c r="E20" s="25" t="str">
        <x:v>researching-company-events</x:v>
      </x:c>
      <x:c r="F20" s="12" t="str">
        <x:v>discovery</x:v>
      </x:c>
      <x:c r="G20" s="25" t="str">
        <x:v>supported_with_boundary</x:v>
      </x:c>
      <x:c r="H20" s="12" t="str">
        <x:v>created_lead</x:v>
      </x:c>
      <x:c r="I20" s="25" t="str">
        <x:v>2026H1-income-cashflow</x:v>
      </x:c>
      <x:c r="J20" s="25" t="str">
        <x:v>report-period-2026-06-30</x:v>
      </x:c>
      <x:c r="K20" s="25" t="str">
        <x:v>{"operating_cashflow_yuan_100m":0.473,"parent_profit_yoy_pct":131.66,"revenue_yoy_pct":110.81}</x:v>
      </x:c>
    </x:row>
    <x:row r="21" ht="51" customHeight="1">
      <x:c r="A21" s="18" t="n">
        <x:v>46254</x:v>
      </x:c>
      <x:c r="B21" s="18" t="n">
        <x:v>46255</x:v>
      </x:c>
      <x:c r="C21" s="14" t="str">
        <x:v>300153.SZ</x:v>
      </x:c>
      <x:c r="D21" s="14"/>
      <x:c r="E21" s="26" t="str">
        <x:v>analyzing-price-trading</x:v>
      </x:c>
      <x:c r="F21" s="14" t="str">
        <x:v>counter</x:v>
      </x:c>
      <x:c r="G21" s="26" t="str">
        <x:v>supported_with_boundary</x:v>
      </x:c>
      <x:c r="H21" s="14" t="str">
        <x:v>rejected</x:v>
      </x:c>
      <x:c r="I21" s="26" t="str">
        <x:v>raw_price</x:v>
      </x:c>
      <x:c r="J21" s="26" t="str">
        <x:v>price-analysis-context-v2</x:v>
      </x:c>
      <x:c r="K21" s="26" t="str">
        <x:v>{"pe_ttm":83,"relative_industry_return_5d":-0.02397,"return_1d":-0.03197,"return_5d":-0.04741,"target_atr_distance_20pct":4.103}</x:v>
      </x:c>
    </x:row>
    <x:row r="22" ht="51" customHeight="1">
      <x:c r="A22" s="17" t="n">
        <x:v>46254</x:v>
      </x:c>
      <x:c r="B22" s="17" t="n">
        <x:v>46255</x:v>
      </x:c>
      <x:c r="C22" s="12" t="str">
        <x:v>601700.SH</x:v>
      </x:c>
      <x:c r="D22" s="12"/>
      <x:c r="E22" s="25" t="str">
        <x:v>researching-company-events</x:v>
      </x:c>
      <x:c r="F22" s="12" t="str">
        <x:v>discovery</x:v>
      </x:c>
      <x:c r="G22" s="25" t="str">
        <x:v>supported_with_boundary</x:v>
      </x:c>
      <x:c r="H22" s="12" t="str">
        <x:v>created_lead</x:v>
      </x:c>
      <x:c r="I22" s="25" t="str">
        <x:v>cninfo-1225482566</x:v>
      </x:c>
      <x:c r="J22" s="25" t="str">
        <x:v>project-award-2026-08-20</x:v>
      </x:c>
      <x:c r="K22" s="25" t="str">
        <x:v>{"award_vs_2025_revenue_pct":4.31,"award_yuan_100m":1.285395,"formal_contract_signed":false}</x:v>
      </x:c>
    </x:row>
    <x:row r="23" ht="51" customHeight="1">
      <x:c r="A23" s="18" t="n">
        <x:v>46254</x:v>
      </x:c>
      <x:c r="B23" s="18" t="n">
        <x:v>46255</x:v>
      </x:c>
      <x:c r="C23" s="14" t="str">
        <x:v>601700.SH</x:v>
      </x:c>
      <x:c r="D23" s="14"/>
      <x:c r="E23" s="26" t="str">
        <x:v>analyzing-price-trading</x:v>
      </x:c>
      <x:c r="F23" s="14" t="str">
        <x:v>action_condition</x:v>
      </x:c>
      <x:c r="G23" s="26" t="str">
        <x:v>supported_with_boundary</x:v>
      </x:c>
      <x:c r="H23" s="14" t="str">
        <x:v>rejected</x:v>
      </x:c>
      <x:c r="I23" s="26" t="str">
        <x:v>raw_price</x:v>
      </x:c>
      <x:c r="J23" s="26" t="str">
        <x:v>price-analysis-context-v2</x:v>
      </x:c>
      <x:c r="K23" s="26" t="str">
        <x:v>{"limit_up_return_contribution_5d":0.9414,"post_limit_behavior":"pending","return_1d":0.0997,"return_20d":0.51515,"return_5d":0.0563}</x:v>
      </x:c>
    </x:row>
    <x:row r="24" ht="51" customHeight="1">
      <x:c r="A24" s="17" t="n">
        <x:v>46254</x:v>
      </x:c>
      <x:c r="B24" s="17" t="n">
        <x:v>46255</x:v>
      </x:c>
      <x:c r="C24" s="12" t="str">
        <x:v>601096.SH</x:v>
      </x:c>
      <x:c r="D24" s="12"/>
      <x:c r="E24" s="25" t="str">
        <x:v>researching-company-events</x:v>
      </x:c>
      <x:c r="F24" s="12" t="str">
        <x:v>discovery</x:v>
      </x:c>
      <x:c r="G24" s="25" t="str">
        <x:v>supported_with_boundary</x:v>
      </x:c>
      <x:c r="H24" s="12" t="str">
        <x:v>created_lead</x:v>
      </x:c>
      <x:c r="I24" s="25" t="str">
        <x:v>cninfo-1225482637</x:v>
      </x:c>
      <x:c r="J24" s="25" t="str">
        <x:v>project-award-2026-08-20</x:v>
      </x:c>
      <x:c r="K24" s="25" t="str">
        <x:v>{"award_vs_2025_revenue_pct":9.33,"award_yuan_100m":8.94,"formal_contract_signed":false}</x:v>
      </x:c>
    </x:row>
    <x:row r="25" ht="51" customHeight="1">
      <x:c r="A25" s="18" t="n">
        <x:v>46254</x:v>
      </x:c>
      <x:c r="B25" s="18" t="n">
        <x:v>46255</x:v>
      </x:c>
      <x:c r="C25" s="14" t="str">
        <x:v>601096.SH</x:v>
      </x:c>
      <x:c r="D25" s="14"/>
      <x:c r="E25" s="26" t="str">
        <x:v>analyzing-price-trading</x:v>
      </x:c>
      <x:c r="F25" s="14" t="str">
        <x:v>counter</x:v>
      </x:c>
      <x:c r="G25" s="26" t="str">
        <x:v>supported_with_boundary</x:v>
      </x:c>
      <x:c r="H25" s="14" t="str">
        <x:v>rejected</x:v>
      </x:c>
      <x:c r="I25" s="26" t="str">
        <x:v>raw_price</x:v>
      </x:c>
      <x:c r="J25" s="26" t="str">
        <x:v>price-analysis-context-v2</x:v>
      </x:c>
      <x:c r="K25" s="26" t="str">
        <x:v>{"relative_industry_return_5d":-0.04017,"return_1d":-0.0072,"return_20d":-0.0549,"return_5d":-0.044}</x:v>
      </x:c>
    </x:row>
    <x:row r="26" ht="51" customHeight="1">
      <x:c r="A26" s="17" t="n">
        <x:v>46254</x:v>
      </x:c>
      <x:c r="B26" s="17" t="n">
        <x:v>46255</x:v>
      </x:c>
      <x:c r="C26" s="12" t="str">
        <x:v>300865.SZ</x:v>
      </x:c>
      <x:c r="D26" s="12"/>
      <x:c r="E26" s="25" t="str">
        <x:v>analyzing-price-trading</x:v>
      </x:c>
      <x:c r="F26" s="12" t="str">
        <x:v>counter</x:v>
      </x:c>
      <x:c r="G26" s="25" t="str">
        <x:v>supported_with_boundary</x:v>
      </x:c>
      <x:c r="H26" s="12" t="str">
        <x:v>rejected</x:v>
      </x:c>
      <x:c r="I26" s="25" t="str">
        <x:v>raw_price</x:v>
      </x:c>
      <x:c r="J26" s="25" t="str">
        <x:v>price-analysis-context-v2</x:v>
      </x:c>
      <x:c r="K26" s="25" t="str">
        <x:v>{"pe_ttm":229,"price_location_60d":1,"relative_industry_return_5d":0.2332,"return_20d":0.425377,"return_5d":0.224217}</x:v>
      </x:c>
    </x:row>
    <x:row r="27" ht="51" customHeight="1">
      <x:c r="A27" s="18" t="n">
        <x:v>46254</x:v>
      </x:c>
      <x:c r="B27" s="18" t="n">
        <x:v>46255</x:v>
      </x:c>
      <x:c r="C27" s="14" t="str">
        <x:v>600547.SH</x:v>
      </x:c>
      <x:c r="D27" s="14"/>
      <x:c r="E27" s="26" t="str">
        <x:v>analyzing-price-trading</x:v>
      </x:c>
      <x:c r="F27" s="14" t="str">
        <x:v>counter</x:v>
      </x:c>
      <x:c r="G27" s="26" t="str">
        <x:v>supported_with_boundary</x:v>
      </x:c>
      <x:c r="H27" s="14" t="str">
        <x:v>rejected</x:v>
      </x:c>
      <x:c r="I27" s="26" t="str">
        <x:v>raw_price</x:v>
      </x:c>
      <x:c r="J27" s="26" t="str">
        <x:v>price-analysis-context-v2</x:v>
      </x:c>
      <x:c r="K27" s="26" t="str">
        <x:v>{"industry_comparison_status":"limited","price_location_60d":1,"relative_market_return_5d":0.2153,"return_20d":0.291,"return_5d":0.2}</x:v>
      </x:c>
    </x:row>
    <x:row r="28" ht="51" customHeight="1">
      <x:c r="A28" s="17" t="n">
        <x:v>46254</x:v>
      </x:c>
      <x:c r="B28" s="17" t="n">
        <x:v>46255</x:v>
      </x:c>
      <x:c r="C28" s="12" t="str">
        <x:v>000703.SZ</x:v>
      </x:c>
      <x:c r="D28" s="12"/>
      <x:c r="E28" s="25" t="str">
        <x:v>analyzing-price-trading</x:v>
      </x:c>
      <x:c r="F28" s="12" t="str">
        <x:v>counter</x:v>
      </x:c>
      <x:c r="G28" s="25" t="str">
        <x:v>supported_with_boundary</x:v>
      </x:c>
      <x:c r="H28" s="12" t="str">
        <x:v>rejected</x:v>
      </x:c>
      <x:c r="I28" s="25" t="str">
        <x:v>raw_price</x:v>
      </x:c>
      <x:c r="J28" s="25" t="str">
        <x:v>price-analysis-context-v2</x:v>
      </x:c>
      <x:c r="K28" s="25" t="str">
        <x:v>{"relative_industry_return_5d":0.17059,"return_20d":0.2705,"return_5d":0.1943,"return_60d":0.5356,"volume_price_efficiency_5d":0.991}</x:v>
      </x:c>
    </x:row>
    <x:row r="29" ht="51" customHeight="1">
      <x:c r="A29" s="18" t="n">
        <x:v>46254</x:v>
      </x:c>
      <x:c r="B29" s="18" t="n">
        <x:v>46255</x:v>
      </x:c>
      <x:c r="C29" s="14" t="str">
        <x:v>603565.SH</x:v>
      </x:c>
      <x:c r="D29" s="14"/>
      <x:c r="E29" s="26" t="str">
        <x:v>analyzing-price-trading</x:v>
      </x:c>
      <x:c r="F29" s="14" t="str">
        <x:v>comparison</x:v>
      </x:c>
      <x:c r="G29" s="26" t="str">
        <x:v>supported_with_boundary</x:v>
      </x:c>
      <x:c r="H29" s="14" t="str">
        <x:v>rejected</x:v>
      </x:c>
      <x:c r="I29" s="26" t="str">
        <x:v>raw_price</x:v>
      </x:c>
      <x:c r="J29" s="26" t="str">
        <x:v>price-analysis-context-v2</x:v>
      </x:c>
      <x:c r="K29" s="26" t="str">
        <x:v>{"industry_comparison_status":"limited","relative_market_return_5d":0.1268,"return_20d":0.1585,"return_5d":0.1115,"target_atr_distance_20pct":6.48}</x:v>
      </x:c>
    </x:row>
    <x:row r="30" ht="51" customHeight="1">
      <x:c r="A30" s="17" t="n">
        <x:v>46255</x:v>
      </x:c>
      <x:c r="B30" s="17" t="n">
        <x:v>46258</x:v>
      </x:c>
      <x:c r="C30" s="12" t="str">
        <x:v>600583.SH</x:v>
      </x:c>
      <x:c r="D30" s="12" t="str">
        <x:v>sec-600583</x:v>
      </x:c>
      <x:c r="E30" s="25" t="str">
        <x:v>researching-sectors-industries</x:v>
      </x:c>
      <x:c r="F30" s="12" t="str">
        <x:v>support</x:v>
      </x:c>
      <x:c r="G30" s="25" t="str">
        <x:v>supported_with_boundary</x:v>
      </x:c>
      <x:c r="H30" s="12" t="str">
        <x:v>promoted</x:v>
      </x:c>
      <x:c r="I30" s="25" t="str">
        <x:v>sector_leader_cluster</x:v>
      </x:c>
      <x:c r="J30" s="25" t="str">
        <x:v>engine-contract-v4</x:v>
      </x:c>
      <x:c r="K30" s="25" t="str">
        <x:v>{"candidate_industry_percentile_5d":1,"effective_member_count":14,"group_code":"801962.SI","qualifying_leader_count":4,"relative_return_3d":0.014914,"relative_return_5d":0.040461,"required_leader_count":3,"top1_positive_contribution":0.302371,"turnover_share_change_5d":0.0010667}</x:v>
      </x:c>
    </x:row>
    <x:row r="31" ht="51" customHeight="1">
      <x:c r="A31" s="18" t="n">
        <x:v>46255</x:v>
      </x:c>
      <x:c r="B31" s="18" t="n">
        <x:v>46258</x:v>
      </x:c>
      <x:c r="C31" s="14" t="str">
        <x:v>600583.SH</x:v>
      </x:c>
      <x:c r="D31" s="14" t="str">
        <x:v>co-600583</x:v>
      </x:c>
      <x:c r="E31" s="26" t="str">
        <x:v>researching-company-events</x:v>
      </x:c>
      <x:c r="F31" s="14" t="str">
        <x:v>support</x:v>
      </x:c>
      <x:c r="G31" s="26" t="str">
        <x:v>supported_with_boundary</x:v>
      </x:c>
      <x:c r="H31" s="14" t="str">
        <x:v>no_change</x:v>
      </x:c>
      <x:c r="I31" s="26" t="str">
        <x:v>financial_statements</x:v>
      </x:c>
      <x:c r="J31" s="26" t="str">
        <x:v>local-financial-facts-v1</x:v>
      </x:c>
      <x:c r="K31" s="26" t="str">
        <x:v>{"available_at":"2026-08-19T00:00:00+08:00","debt_to_assets":0.41912,"n_cashflow_act":1560681000,"net_profit_yoy":-0.00637,"report_period":"2026-06-30","revenue_yoy":0.09418}</x:v>
      </x:c>
    </x:row>
    <x:row r="32" ht="51" customHeight="1">
      <x:c r="A32" s="17" t="n">
        <x:v>46255</x:v>
      </x:c>
      <x:c r="B32" s="17" t="n">
        <x:v>46258</x:v>
      </x:c>
      <x:c r="C32" s="12" t="str">
        <x:v>600583.SH</x:v>
      </x:c>
      <x:c r="D32" s="12" t="str">
        <x:v>px-600583</x:v>
      </x:c>
      <x:c r="E32" s="25" t="str">
        <x:v>analyzing-price-trading</x:v>
      </x:c>
      <x:c r="F32" s="12" t="str">
        <x:v>support</x:v>
      </x:c>
      <x:c r="G32" s="25" t="str">
        <x:v>supported_with_boundary</x:v>
      </x:c>
      <x:c r="H32" s="12" t="str">
        <x:v>promoted</x:v>
      </x:c>
      <x:c r="I32" s="25" t="str">
        <x:v>raw_price</x:v>
      </x:c>
      <x:c r="J32" s="25" t="str">
        <x:v>price-analysis-context-v2</x:v>
      </x:c>
      <x:c r="K32" s="25" t="str">
        <x:v>{"amount_ratio_last_20d":1.111278,"mean_close_position_5d":0.539479,"observation_date":"2026-08-21","price_location_60d":0.984496,"relative_industry_return_3d":0.024322,"relative_industry_return_5d":0.092545,"relative_market_3d":0.039236,"relative_market_5d":0.133006,"return_1d":0.003279,"return_20d":0.110708,"return_3d":0.016611,"return_5d":0.122936,"target_atr_distance_20pct":6.8,"volume_price_efficiency_5d":0.93034}</x:v>
      </x:c>
    </x:row>
    <x:row r="33" ht="51" customHeight="1">
      <x:c r="A33" s="18" t="n">
        <x:v>46255</x:v>
      </x:c>
      <x:c r="B33" s="18" t="n">
        <x:v>46258</x:v>
      </x:c>
      <x:c r="C33" s="14" t="str">
        <x:v>600980.SH</x:v>
      </x:c>
      <x:c r="D33" s="14" t="str">
        <x:v>co-600980</x:v>
      </x:c>
      <x:c r="E33" s="26" t="str">
        <x:v>researching-company-events</x:v>
      </x:c>
      <x:c r="F33" s="14" t="str">
        <x:v>support</x:v>
      </x:c>
      <x:c r="G33" s="26" t="str">
        <x:v>supported_with_boundary</x:v>
      </x:c>
      <x:c r="H33" s="14" t="str">
        <x:v>promoted</x:v>
      </x:c>
      <x:c r="I33" s="26" t="str">
        <x:v>financial_statements</x:v>
      </x:c>
      <x:c r="J33" s="26" t="str">
        <x:v>local-financial-facts-v1</x:v>
      </x:c>
      <x:c r="K33" s="26" t="str">
        <x:v>{"available_at":"2026-08-22T00:00:00+08:00","debt_to_assets":0.53782,"earnings_express_id":"1225437403","formal_report_id":"1225485674","n_cashflow_act":58041870,"net_profit_yoy":0.25682,"new_information_level":"confirmation_only","report_period":"2026-06-30","revenue_yoy":0.19002}</x:v>
      </x:c>
    </x:row>
    <x:row r="34" ht="51" customHeight="1">
      <x:c r="A34" s="17" t="n">
        <x:v>46255</x:v>
      </x:c>
      <x:c r="B34" s="17" t="n">
        <x:v>46258</x:v>
      </x:c>
      <x:c r="C34" s="12" t="str">
        <x:v>600980.SH</x:v>
      </x:c>
      <x:c r="D34" s="12" t="str">
        <x:v>px-600980</x:v>
      </x:c>
      <x:c r="E34" s="25" t="str">
        <x:v>analyzing-price-trading</x:v>
      </x:c>
      <x:c r="F34" s="12" t="str">
        <x:v>support</x:v>
      </x:c>
      <x:c r="G34" s="25" t="str">
        <x:v>supported_with_boundary</x:v>
      </x:c>
      <x:c r="H34" s="12" t="str">
        <x:v>promoted</x:v>
      </x:c>
      <x:c r="I34" s="25" t="str">
        <x:v>raw_price</x:v>
      </x:c>
      <x:c r="J34" s="25" t="str">
        <x:v>price-analysis-context-v2</x:v>
      </x:c>
      <x:c r="K34" s="25" t="str">
        <x:v>{"amount_ratio_last_20d":1.228291,"mean_close_position_5d":0.649258,"observation_date":"2026-08-21","price_location_60d":0.70084,"relative_industry_return_3d":0.028176,"relative_industry_return_5d":0.061928,"relative_market_3d":0.022624,"relative_market_5d":0.062646,"return_1d":0.021429,"return_20d":0.188836,"return_3d":0,"return_5d":0.052576,"target_atr_distance_20pct":7.299909,"volume_price_efficiency_5d":0.577523}</x:v>
      </x:c>
    </x:row>
    <x:row r="35" ht="51" customHeight="1">
      <x:c r="A35" s="18" t="n">
        <x:v>46255</x:v>
      </x:c>
      <x:c r="B35" s="18" t="n">
        <x:v>46258</x:v>
      </x:c>
      <x:c r="C35" s="14" t="str">
        <x:v>001301.SZ</x:v>
      </x:c>
      <x:c r="D35" s="14" t="str">
        <x:v>co-001301</x:v>
      </x:c>
      <x:c r="E35" s="26" t="str">
        <x:v>researching-company-events</x:v>
      </x:c>
      <x:c r="F35" s="14" t="str">
        <x:v>counter</x:v>
      </x:c>
      <x:c r="G35" s="26" t="str">
        <x:v>supported_with_boundary</x:v>
      </x:c>
      <x:c r="H35" s="14" t="str">
        <x:v>demoted</x:v>
      </x:c>
      <x:c r="I35" s="26" t="str">
        <x:v>financial_statements</x:v>
      </x:c>
      <x:c r="J35" s="26" t="str">
        <x:v>local-financial-facts-v1</x:v>
      </x:c>
      <x:c r="K35" s="26" t="str">
        <x:v>{"debt_to_assets":0.579,"event_available_at":"2026-08-19T00:00:00+08:00","event_id":"1225479689","n_cashflow_act":-1722838000,"net_profit_yoy":-0.166,"report_period":"2026-06-30","revenue_yoy":0.3311}</x:v>
      </x:c>
    </x:row>
    <x:row r="36" ht="51" customHeight="1">
      <x:c r="A36" s="17" t="n">
        <x:v>46255</x:v>
      </x:c>
      <x:c r="B36" s="17" t="n">
        <x:v>46258</x:v>
      </x:c>
      <x:c r="C36" s="12" t="str">
        <x:v>001301.SZ</x:v>
      </x:c>
      <x:c r="D36" s="12" t="str">
        <x:v>evtpx-001301</x:v>
      </x:c>
      <x:c r="E36" s="25" t="str">
        <x:v>analyzing-price-trading</x:v>
      </x:c>
      <x:c r="F36" s="12" t="str">
        <x:v>support</x:v>
      </x:c>
      <x:c r="G36" s="25" t="str">
        <x:v>observation_only</x:v>
      </x:c>
      <x:c r="H36" s="12" t="str">
        <x:v>created_lead</x:v>
      </x:c>
      <x:c r="I36" s="25" t="str">
        <x:v>event_price_reaction</x:v>
      </x:c>
      <x:c r="J36" s="25" t="str">
        <x:v>event-price-reaction-v3</x:v>
      </x:c>
      <x:c r="K36" s="25" t="str">
        <x:v>{"amount_ratio_1d":3.461316,"amount_ratio_3d":3.268119,"event_available_at":"2026-08-19T00:00:00+08:00","event_id":"1225479689","event_return_1d":0.100071,"event_return_3d":0.115425,"event_timing_status":"preopen","high_to_close_pullback_3d":0.035601,"mean_close_location_3d":0.597737,"observation_date":"2026-08-21","observed_reaction_sessions":3,"pre_event_return_20d":0.081298,"reaction_start_date":"2026-08-19","reaction_window_status":"partial","relative_industry_return_1d":0.143092,"relative_industry_return_3d":0.146237,"relative_market_return_1d":0.129085,"relative_market_return_3d":0.13805}</x:v>
      </x:c>
    </x:row>
    <x:row r="37" ht="51" customHeight="1">
      <x:c r="A37" s="18" t="n">
        <x:v>46255</x:v>
      </x:c>
      <x:c r="B37" s="18" t="n">
        <x:v>46258</x:v>
      </x:c>
      <x:c r="C37" s="14" t="str">
        <x:v>301419.SZ</x:v>
      </x:c>
      <x:c r="D37" s="14" t="str">
        <x:v>co-301419</x:v>
      </x:c>
      <x:c r="E37" s="26" t="str">
        <x:v>researching-company-events</x:v>
      </x:c>
      <x:c r="F37" s="14" t="str">
        <x:v>support</x:v>
      </x:c>
      <x:c r="G37" s="26" t="str">
        <x:v>supported_with_boundary</x:v>
      </x:c>
      <x:c r="H37" s="14" t="str">
        <x:v>created_lead</x:v>
      </x:c>
      <x:c r="I37" s="26" t="str">
        <x:v>announcement</x:v>
      </x:c>
      <x:c r="J37" s="26" t="str">
        <x:v>cninfo-announcement-v1</x:v>
      </x:c>
      <x:c r="K37" s="26" t="str">
        <x:v>{"business_link":"direct","event_available_at":"2026-08-21T16:33:30+08:00","event_id":"1225489035","first_or_repeat":"first","minimum_equity_interest":0.51,"new_information_level":"substantive_new","transaction_stage":"investment_intent_only"}</x:v>
      </x:c>
    </x:row>
    <x:row r="38" ht="51" customHeight="1">
      <x:c r="A38" s="17" t="n">
        <x:v>46255</x:v>
      </x:c>
      <x:c r="B38" s="17" t="n">
        <x:v>46258</x:v>
      </x:c>
      <x:c r="C38" s="12" t="str">
        <x:v>301419.SZ</x:v>
      </x:c>
      <x:c r="D38" s="12" t="str">
        <x:v>px-301419</x:v>
      </x:c>
      <x:c r="E38" s="25" t="str">
        <x:v>analyzing-price-trading</x:v>
      </x:c>
      <x:c r="F38" s="12" t="str">
        <x:v>counter</x:v>
      </x:c>
      <x:c r="G38" s="25" t="str">
        <x:v>supported_with_boundary</x:v>
      </x:c>
      <x:c r="H38" s="12" t="str">
        <x:v>rejected</x:v>
      </x:c>
      <x:c r="I38" s="25" t="str">
        <x:v>raw_price</x:v>
      </x:c>
      <x:c r="J38" s="25" t="str">
        <x:v>price-analysis-context-v2</x:v>
      </x:c>
      <x:c r="K38" s="25" t="str">
        <x:v>{"amount_ratio_last_20d":1.644676,"observation_date":"2026-08-21","price_location_60d":0.570717,"relative_industry_return_5d":0.082958,"relative_market_5d":0.083701,"return_1d":0.004726,"return_20d":0.453924,"return_5d":0.073631,"target_atr_distance_20pct":3.189104,"volume_price_efficiency_5d":0.347459}</x:v>
      </x:c>
    </x:row>
    <x:row r="39" ht="51" customHeight="1">
      <x:c r="A39" s="18" t="n">
        <x:v>46255</x:v>
      </x:c>
      <x:c r="B39" s="18" t="n">
        <x:v>46258</x:v>
      </x:c>
      <x:c r="C39" s="14" t="str">
        <x:v>605169.SH</x:v>
      </x:c>
      <x:c r="D39" s="14" t="str">
        <x:v>sec-605169</x:v>
      </x:c>
      <x:c r="E39" s="26" t="str">
        <x:v>researching-sectors-industries</x:v>
      </x:c>
      <x:c r="F39" s="14" t="str">
        <x:v>support</x:v>
      </x:c>
      <x:c r="G39" s="26" t="str">
        <x:v>supported_with_boundary</x:v>
      </x:c>
      <x:c r="H39" s="14" t="str">
        <x:v>created_lead</x:v>
      </x:c>
      <x:c r="I39" s="26" t="str">
        <x:v>sector_leader_cluster</x:v>
      </x:c>
      <x:c r="J39" s="26" t="str">
        <x:v>engine-contract-v4</x:v>
      </x:c>
      <x:c r="K39" s="26" t="str">
        <x:v>{"candidate_industry_percentile_5d":0.965517,"effective_member_count":30,"group_code":"801163.SI","qualifying_leader_count":8,"relative_return_3d":0.009242,"relative_return_5d":0.023111,"required_leader_count":3,"top1_positive_contribution":0.292792,"turnover_share_change_5d":0.000095}</x:v>
      </x:c>
    </x:row>
    <x:row r="40" ht="51" customHeight="1">
      <x:c r="A40" s="17" t="n">
        <x:v>46255</x:v>
      </x:c>
      <x:c r="B40" s="17" t="n">
        <x:v>46258</x:v>
      </x:c>
      <x:c r="C40" s="12" t="str">
        <x:v>605169.SH</x:v>
      </x:c>
      <x:c r="D40" s="12" t="str">
        <x:v>co-605169</x:v>
      </x:c>
      <x:c r="E40" s="25" t="str">
        <x:v>researching-company-events</x:v>
      </x:c>
      <x:c r="F40" s="12" t="str">
        <x:v>counter</x:v>
      </x:c>
      <x:c r="G40" s="25" t="str">
        <x:v>supported_with_boundary</x:v>
      </x:c>
      <x:c r="H40" s="12" t="str">
        <x:v>demoted</x:v>
      </x:c>
      <x:c r="I40" s="25" t="str">
        <x:v>financial_statements</x:v>
      </x:c>
      <x:c r="J40" s="25" t="str">
        <x:v>local-financial-facts-v1</x:v>
      </x:c>
      <x:c r="K40" s="25" t="str">
        <x:v>{"n_cashflow_act":33604850,"net_profit_yoy":-0.8053,"report_period":"2026-03-31","revenue_yoy":-0.1646}</x:v>
      </x:c>
    </x:row>
    <x:row r="41" ht="51" customHeight="1">
      <x:c r="A41" s="18" t="n">
        <x:v>46255</x:v>
      </x:c>
      <x:c r="B41" s="18" t="n">
        <x:v>46258</x:v>
      </x:c>
      <x:c r="C41" s="14" t="str">
        <x:v>605169.SH</x:v>
      </x:c>
      <x:c r="D41" s="14" t="str">
        <x:v>px-605169</x:v>
      </x:c>
      <x:c r="E41" s="26" t="str">
        <x:v>analyzing-price-trading</x:v>
      </x:c>
      <x:c r="F41" s="14" t="str">
        <x:v>support</x:v>
      </x:c>
      <x:c r="G41" s="26" t="str">
        <x:v>supported_with_boundary</x:v>
      </x:c>
      <x:c r="H41" s="14" t="str">
        <x:v>promoted</x:v>
      </x:c>
      <x:c r="I41" s="26" t="str">
        <x:v>raw_price</x:v>
      </x:c>
      <x:c r="J41" s="26" t="str">
        <x:v>price-analysis-context-v2</x:v>
      </x:c>
      <x:c r="K41" s="26" t="str">
        <x:v>{"amount_ratio_last_20d":1.748097,"mean_close_position_5d":0.548336,"observation_date":"2026-08-21","price_location_60d":0.790004,"relative_industry_return_3d":0.0346,"relative_industry_return_5d":0.096177,"relative_market_3d":0.043842,"relative_market_5d":0.119289,"return_1d":0.009116,"return_20d":0.154327,"return_3d":0.021218,"return_5d":0.109218,"target_atr_distance_20pct":6.352941,"volume_price_efficiency_5d":0.868083}</x:v>
      </x:c>
    </x:row>
    <x:row r="42" ht="51" customHeight="1">
      <x:c r="A42" s="17" t="n">
        <x:v>46258</x:v>
      </x:c>
      <x:c r="B42" s="17" t="n">
        <x:v>46259</x:v>
      </x:c>
      <x:c r="C42" s="12" t="str">
        <x:v>000690.SZ</x:v>
      </x:c>
      <x:c r="D42" s="12" t="str">
        <x:v>co-000690</x:v>
      </x:c>
      <x:c r="E42" s="25" t="str">
        <x:v>researching-company-events</x:v>
      </x:c>
      <x:c r="F42" s="12" t="str">
        <x:v>support</x:v>
      </x:c>
      <x:c r="G42" s="25" t="str">
        <x:v>supported_with_boundary</x:v>
      </x:c>
      <x:c r="H42" s="12" t="str">
        <x:v>no_change</x:v>
      </x:c>
      <x:c r="I42" s="25" t="str">
        <x:v>financial_indicator</x:v>
      </x:c>
      <x:c r="J42" s="25" t="str">
        <x:v>local-financial-facts-v1</x:v>
      </x:c>
      <x:c r="K42" s="25" t="str">
        <x:v>{"available_at":"2026-04-29T00:00:00+08:00","debt_to_assets":0.402943,"net_profit_yoy":0.034308,"operating_cashflow_yoy":0.480409,"report_period":"2026-03-31","revenue_yoy":0.059775}</x:v>
      </x:c>
    </x:row>
    <x:row r="43" ht="51" customHeight="1">
      <x:c r="A43" s="18" t="n">
        <x:v>46258</x:v>
      </x:c>
      <x:c r="B43" s="18" t="n">
        <x:v>46259</x:v>
      </x:c>
      <x:c r="C43" s="14" t="str">
        <x:v>000690.SZ</x:v>
      </x:c>
      <x:c r="D43" s="14" t="str">
        <x:v>px-000690</x:v>
      </x:c>
      <x:c r="E43" s="26" t="str">
        <x:v>analyzing-price-trading</x:v>
      </x:c>
      <x:c r="F43" s="14" t="str">
        <x:v>support</x:v>
      </x:c>
      <x:c r="G43" s="26" t="str">
        <x:v>supported_with_boundary</x:v>
      </x:c>
      <x:c r="H43" s="14" t="str">
        <x:v>promoted</x:v>
      </x:c>
      <x:c r="I43" s="26" t="str">
        <x:v>initial_activation</x:v>
      </x:c>
      <x:c r="J43" s="26" t="str">
        <x:v>price-analysis-context-v2</x:v>
      </x:c>
      <x:c r="K43" s="26" t="str">
        <x:v>{"amount_ratio_last_20d":2.26683,"mean_close_position_5d":0.631944,"observation_date":"2026-08-24","price_location_60d":0.329193,"relative_industry_return_3d":0.05749,"relative_industry_return_5d":0.088283,"relative_market_3d":0.067143,"relative_market_5d":0.09462,"return_1d":0.048218,"return_20d":0.014199,"return_3d":0.061571,"return_5d":0.057082,"target_atr_distance_20pct":6.968641,"volume_price_efficiency_5d":0.938319}</x:v>
      </x:c>
    </x:row>
    <x:row r="44" ht="51" customHeight="1">
      <x:c r="A44" s="17" t="n">
        <x:v>46258</x:v>
      </x:c>
      <x:c r="B44" s="17" t="n">
        <x:v>46259</x:v>
      </x:c>
      <x:c r="C44" s="12" t="str">
        <x:v>601998.SH</x:v>
      </x:c>
      <x:c r="D44" s="12" t="str">
        <x:v>sec-601998</x:v>
      </x:c>
      <x:c r="E44" s="25" t="str">
        <x:v>researching-sectors-industries</x:v>
      </x:c>
      <x:c r="F44" s="12" t="str">
        <x:v>support</x:v>
      </x:c>
      <x:c r="G44" s="25" t="str">
        <x:v>supported_with_boundary</x:v>
      </x:c>
      <x:c r="H44" s="12" t="str">
        <x:v>promoted</x:v>
      </x:c>
      <x:c r="I44" s="25" t="str">
        <x:v>sector_broad_diffusion</x:v>
      </x:c>
      <x:c r="J44" s="25" t="str">
        <x:v>engine-contract-v4</x:v>
      </x:c>
      <x:c r="K44" s="25" t="str">
        <x:v>{"breadth_3d":1,"breadth_5d":1,"candidate_industry_percentile_5d":1,"group_code":"801783.SI","median_return_3d":0.023324,"median_return_5d":0.029326,"observed_member_count":9,"relative_return_3d":0.02815,"relative_return_5d":0.075886,"top3_positive_contribution":0.43151,"turnover_share_change_5d":0.002561}</x:v>
      </x:c>
    </x:row>
    <x:row r="45" ht="51" customHeight="1">
      <x:c r="A45" s="18" t="n">
        <x:v>46258</x:v>
      </x:c>
      <x:c r="B45" s="18" t="n">
        <x:v>46259</x:v>
      </x:c>
      <x:c r="C45" s="14" t="str">
        <x:v>601998.SH</x:v>
      </x:c>
      <x:c r="D45" s="14" t="str">
        <x:v>co-601998</x:v>
      </x:c>
      <x:c r="E45" s="26" t="str">
        <x:v>researching-company-events</x:v>
      </x:c>
      <x:c r="F45" s="14" t="str">
        <x:v>support</x:v>
      </x:c>
      <x:c r="G45" s="26" t="str">
        <x:v>supported_with_boundary</x:v>
      </x:c>
      <x:c r="H45" s="14" t="str">
        <x:v>no_change</x:v>
      </x:c>
      <x:c r="I45" s="26" t="str">
        <x:v>financial_indicator</x:v>
      </x:c>
      <x:c r="J45" s="26" t="str">
        <x:v>local-financial-facts-v1</x:v>
      </x:c>
      <x:c r="K45" s="26" t="str">
        <x:v>{"available_at":"2026-05-01T00:00:00+08:00","net_profit_yoy":0.030191,"report_period":"2026-03-31","revenue_yoy":0.052339}</x:v>
      </x:c>
    </x:row>
    <x:row r="46" ht="51" customHeight="1">
      <x:c r="A46" s="17" t="n">
        <x:v>46258</x:v>
      </x:c>
      <x:c r="B46" s="17" t="n">
        <x:v>46259</x:v>
      </x:c>
      <x:c r="C46" s="12" t="str">
        <x:v>601998.SH</x:v>
      </x:c>
      <x:c r="D46" s="12" t="str">
        <x:v>px-601998</x:v>
      </x:c>
      <x:c r="E46" s="25" t="str">
        <x:v>analyzing-price-trading</x:v>
      </x:c>
      <x:c r="F46" s="12" t="str">
        <x:v>support</x:v>
      </x:c>
      <x:c r="G46" s="25" t="str">
        <x:v>supported_with_boundary</x:v>
      </x:c>
      <x:c r="H46" s="12" t="str">
        <x:v>promoted</x:v>
      </x:c>
      <x:c r="I46" s="25" t="str">
        <x:v>trend_continuation</x:v>
      </x:c>
      <x:c r="J46" s="25" t="str">
        <x:v>price-analysis-context-v2</x:v>
      </x:c>
      <x:c r="K46" s="25" t="str">
        <x:v>{"amount_ratio_last_20d":1.740732,"mean_close_position_5d":0.825515,"observation_date":"2026-08-24","price_location_60d":1,"relative_industry_return_3d":0.026442,"relative_industry_return_5d":0.074786,"relative_market_3d":0.054592,"relative_market_5d":0.150672,"return_1d":0.020262,"return_20d":0.110246,"return_3d":0.04902,"return_5d":0.113134,"target_atr_distance_20pct":8.538653,"volume_price_efficiency_5d":1}</x:v>
      </x:c>
    </x:row>
    <x:row r="47" ht="51" customHeight="1">
      <x:c r="A47" s="18" t="n">
        <x:v>46258</x:v>
      </x:c>
      <x:c r="B47" s="18" t="n">
        <x:v>46259</x:v>
      </x:c>
      <x:c r="C47" s="14" t="str">
        <x:v>601077.SH</x:v>
      </x:c>
      <x:c r="D47" s="14" t="str">
        <x:v>sec-601077</x:v>
      </x:c>
      <x:c r="E47" s="26" t="str">
        <x:v>researching-sectors-industries</x:v>
      </x:c>
      <x:c r="F47" s="14" t="str">
        <x:v>support</x:v>
      </x:c>
      <x:c r="G47" s="26" t="str">
        <x:v>supported_with_boundary</x:v>
      </x:c>
      <x:c r="H47" s="14" t="str">
        <x:v>created_lead</x:v>
      </x:c>
      <x:c r="I47" s="26" t="str">
        <x:v>sector_broad_diffusion</x:v>
      </x:c>
      <x:c r="J47" s="26" t="str">
        <x:v>engine-contract-v4</x:v>
      </x:c>
      <x:c r="K47" s="26" t="str">
        <x:v>{"breadth_3d":0.9,"breadth_5d":1,"candidate_industry_percentile_5d":1,"group_code":"801785.SI","median_return_3d":0.020134,"median_return_5d":0.031349,"observed_member_count":10,"relative_return_3d":0.027156,"relative_return_5d":0.069487,"top3_positive_contribution":0.455062,"turnover_share_change_5d":0.000523}</x:v>
      </x:c>
    </x:row>
    <x:row r="48" ht="51" customHeight="1">
      <x:c r="A48" s="17" t="n">
        <x:v>46258</x:v>
      </x:c>
      <x:c r="B48" s="17" t="n">
        <x:v>46259</x:v>
      </x:c>
      <x:c r="C48" s="12" t="str">
        <x:v>601077.SH</x:v>
      </x:c>
      <x:c r="D48" s="12" t="str">
        <x:v>co-601077</x:v>
      </x:c>
      <x:c r="E48" s="25" t="str">
        <x:v>researching-company-events</x:v>
      </x:c>
      <x:c r="F48" s="12" t="str">
        <x:v>support</x:v>
      </x:c>
      <x:c r="G48" s="25" t="str">
        <x:v>supported_with_boundary</x:v>
      </x:c>
      <x:c r="H48" s="12" t="str">
        <x:v>no_change</x:v>
      </x:c>
      <x:c r="I48" s="25" t="str">
        <x:v>financial_indicator</x:v>
      </x:c>
      <x:c r="J48" s="25" t="str">
        <x:v>local-financial-facts-v1</x:v>
      </x:c>
      <x:c r="K48" s="25" t="str">
        <x:v>{"available_at":"2026-04-30T00:00:00+08:00","net_profit_yoy":0.050719,"report_period":"2026-03-31","revenue_yoy":0.083944}</x:v>
      </x:c>
    </x:row>
    <x:row r="49" ht="51" customHeight="1">
      <x:c r="A49" s="18" t="n">
        <x:v>46258</x:v>
      </x:c>
      <x:c r="B49" s="18" t="n">
        <x:v>46259</x:v>
      </x:c>
      <x:c r="C49" s="14" t="str">
        <x:v>601077.SH</x:v>
      </x:c>
      <x:c r="D49" s="14" t="str">
        <x:v>px-601077</x:v>
      </x:c>
      <x:c r="E49" s="26" t="str">
        <x:v>analyzing-price-trading</x:v>
      </x:c>
      <x:c r="F49" s="14" t="str">
        <x:v>comparison</x:v>
      </x:c>
      <x:c r="G49" s="26" t="str">
        <x:v>supported_with_boundary</x:v>
      </x:c>
      <x:c r="H49" s="14" t="str">
        <x:v>demoted</x:v>
      </x:c>
      <x:c r="I49" s="26" t="str">
        <x:v>trend_continuation</x:v>
      </x:c>
      <x:c r="J49" s="26" t="str">
        <x:v>price-analysis-context-v2</x:v>
      </x:c>
      <x:c r="K49" s="26" t="str">
        <x:v>{"amount_ratio_last_20d":1.259015,"observation_date":"2026-08-24","price_location_60d":1,"relative_industry_return_3d":0.019836,"relative_industry_return_5d":0.044504,"relative_market_3d":0.046992,"relative_market_5d":0.113991,"return_1d":0.033774,"return_20d":0.069909,"return_3d":0.04142,"return_5d":0.076453,"target_atr_distance_20pct":8.911392,"volume_price_efficiency_5d":0.976925}</x:v>
      </x:c>
    </x:row>
    <x:row r="50" ht="51" customHeight="1">
      <x:c r="A50" s="17" t="n">
        <x:v>46258</x:v>
      </x:c>
      <x:c r="B50" s="17" t="n">
        <x:v>46259</x:v>
      </x:c>
      <x:c r="C50" s="12" t="str">
        <x:v>002014.SZ</x:v>
      </x:c>
      <x:c r="D50" s="12" t="str">
        <x:v>co-002014</x:v>
      </x:c>
      <x:c r="E50" s="25" t="str">
        <x:v>researching-company-events</x:v>
      </x:c>
      <x:c r="F50" s="12" t="str">
        <x:v>comparison</x:v>
      </x:c>
      <x:c r="G50" s="25" t="str">
        <x:v>supported_with_boundary</x:v>
      </x:c>
      <x:c r="H50" s="12" t="str">
        <x:v>no_change</x:v>
      </x:c>
      <x:c r="I50" s="25" t="str">
        <x:v>financial_indicator</x:v>
      </x:c>
      <x:c r="J50" s="25" t="str">
        <x:v>local-financial-facts-v1</x:v>
      </x:c>
      <x:c r="K50" s="25" t="str">
        <x:v>{"available_at":"2026-08-21T00:00:00+08:00","net_profit_yoy":0.004291,"operating_cashflow_yoy":1.915251,"report_period":"2026-06-30","revenue_yoy":0.109518}</x:v>
      </x:c>
    </x:row>
    <x:row r="51" ht="51" customHeight="1">
      <x:c r="A51" s="18" t="n">
        <x:v>46258</x:v>
      </x:c>
      <x:c r="B51" s="18" t="n">
        <x:v>46259</x:v>
      </x:c>
      <x:c r="C51" s="14" t="str">
        <x:v>002014.SZ</x:v>
      </x:c>
      <x:c r="D51" s="14" t="str">
        <x:v>px-002014</x:v>
      </x:c>
      <x:c r="E51" s="26" t="str">
        <x:v>analyzing-price-trading</x:v>
      </x:c>
      <x:c r="F51" s="14" t="str">
        <x:v>comparison</x:v>
      </x:c>
      <x:c r="G51" s="26" t="str">
        <x:v>supported_with_boundary</x:v>
      </x:c>
      <x:c r="H51" s="14" t="str">
        <x:v>demoted</x:v>
      </x:c>
      <x:c r="I51" s="26" t="str">
        <x:v>initial_activation</x:v>
      </x:c>
      <x:c r="J51" s="26" t="str">
        <x:v>price-analysis-context-v2</x:v>
      </x:c>
      <x:c r="K51" s="26" t="str">
        <x:v>{"amount_ratio_last_20d":1.01336,"mean_close_position_5d":0.520455,"observation_date":"2026-08-24","price_location_60d":0.618321,"relative_industry_return_3d":0.015252,"relative_industry_return_5d":0.058398,"relative_market_3d":0.029871,"relative_market_5d":0.060881,"return_1d":0.009208,"return_20d":0.015755,"return_3d":0.024299,"return_5d":0.023343,"target_atr_distance_20pct":9.829596,"upper_shadow_frequency_5d":0.8,"volume_price_efficiency_5d":0.670824}</x:v>
      </x:c>
    </x:row>
    <x:row r="52" ht="51" customHeight="1">
      <x:c r="A52" s="17" t="n">
        <x:v>46258</x:v>
      </x:c>
      <x:c r="B52" s="17" t="n">
        <x:v>46259</x:v>
      </x:c>
      <x:c r="C52" s="12" t="str">
        <x:v>603291.SH</x:v>
      </x:c>
      <x:c r="D52" s="12" t="str">
        <x:v>co-603291</x:v>
      </x:c>
      <x:c r="E52" s="25" t="str">
        <x:v>researching-company-events</x:v>
      </x:c>
      <x:c r="F52" s="12" t="str">
        <x:v>discovery</x:v>
      </x:c>
      <x:c r="G52" s="25" t="str">
        <x:v>provisional</x:v>
      </x:c>
      <x:c r="H52" s="12" t="str">
        <x:v>created_lead</x:v>
      </x:c>
      <x:c r="I52" s="25" t="str">
        <x:v>announcement_metadata</x:v>
      </x:c>
      <x:c r="J52" s="25" t="str">
        <x:v>local-announcement-metadata-v1</x:v>
      </x:c>
      <x:c r="K52" s="25" t="str">
        <x:v>{"business_link":"direct","event_available_at":"2026-08-25T00:00:00+08:00","event_id":"1225497882","event_title":"关于中标沙特阿拉伯市政污水处理长期运维合同第11包的公告","materiality_status":"unknown_without_local_body"}</x:v>
      </x:c>
    </x:row>
    <x:row r="53" ht="51" customHeight="1">
      <x:c r="A53" s="18" t="n">
        <x:v>46258</x:v>
      </x:c>
      <x:c r="B53" s="18" t="n">
        <x:v>46259</x:v>
      </x:c>
      <x:c r="C53" s="14" t="str">
        <x:v>603291.SH</x:v>
      </x:c>
      <x:c r="D53" s="14" t="str">
        <x:v>px-603291</x:v>
      </x:c>
      <x:c r="E53" s="26" t="str">
        <x:v>analyzing-price-trading</x:v>
      </x:c>
      <x:c r="F53" s="14" t="str">
        <x:v>counter</x:v>
      </x:c>
      <x:c r="G53" s="26" t="str">
        <x:v>observation_only</x:v>
      </x:c>
      <x:c r="H53" s="14" t="str">
        <x:v>no_change</x:v>
      </x:c>
      <x:c r="I53" s="26" t="str">
        <x:v>raw_price</x:v>
      </x:c>
      <x:c r="J53" s="26" t="str">
        <x:v>price-analysis-context-v2</x:v>
      </x:c>
      <x:c r="K53" s="26" t="str">
        <x:v>{"amount_ratio_last_20d":1.521492,"observation_date":"2026-08-24","price_location_60d":0.485507,"relative_industry_return_3d":-0.009484,"relative_industry_return_5d":0.023104,"relative_market_3d":0.010007,"relative_market_5d":0.04086,"return_1d":-0.039236,"return_20d":0.161538,"return_3d":0.004435,"return_5d":0.003322,"target_atr_distance_20pct":5.64486,"volume_price_efficiency_5d":0.004612}</x:v>
      </x:c>
    </x:row>
    <x:row r="54" ht="51" customHeight="1">
      <x:c r="A54" s="17" t="n">
        <x:v>46259</x:v>
      </x:c>
      <x:c r="B54" s="17" t="n">
        <x:v>46260</x:v>
      </x:c>
      <x:c r="C54" s="12" t="str">
        <x:v>002366.SZ</x:v>
      </x:c>
      <x:c r="D54" s="12" t="str">
        <x:v>co-002366</x:v>
      </x:c>
      <x:c r="E54" s="25" t="str">
        <x:v>researching-company-events</x:v>
      </x:c>
      <x:c r="F54" s="12" t="str">
        <x:v>support</x:v>
      </x:c>
      <x:c r="G54" s="25" t="str">
        <x:v>supported_with_boundary</x:v>
      </x:c>
      <x:c r="H54" s="12" t="str">
        <x:v>promoted</x:v>
      </x:c>
      <x:c r="I54" s="25" t="str">
        <x:v>cninfo-announcement-1225500996</x:v>
      </x:c>
      <x:c r="J54" s="25" t="str">
        <x:v>official-pdf-v1</x:v>
      </x:c>
      <x:c r="K54" s="25" t="str">
        <x:v>{"award_amount_cny":200520000,"business_link":"direct","event_available_at":"2026-08-26T00:00:00+08:00","event_id":"1225500996","formal_contract_signed":false}</x:v>
      </x:c>
    </x:row>
    <x:row r="55" ht="51" customHeight="1">
      <x:c r="A55" s="18" t="n">
        <x:v>46259</x:v>
      </x:c>
      <x:c r="B55" s="18" t="n">
        <x:v>46260</x:v>
      </x:c>
      <x:c r="C55" s="14" t="str">
        <x:v>002366.SZ</x:v>
      </x:c>
      <x:c r="D55" s="14" t="str">
        <x:v>px-002366</x:v>
      </x:c>
      <x:c r="E55" s="26" t="str">
        <x:v>analyzing-price-trading</x:v>
      </x:c>
      <x:c r="F55" s="14" t="str">
        <x:v>action_condition</x:v>
      </x:c>
      <x:c r="G55" s="26" t="str">
        <x:v>supported_with_boundary</x:v>
      </x:c>
      <x:c r="H55" s="14" t="str">
        <x:v>promoted</x:v>
      </x:c>
      <x:c r="I55" s="26" t="str">
        <x:v>event_price_reaction</x:v>
      </x:c>
      <x:c r="J55" s="26" t="str">
        <x:v>event-price-reaction-v3</x:v>
      </x:c>
      <x:c r="K55" s="26" t="str">
        <x:v>{"event_available_at":"2026-08-26T00:00:00+08:00","event_id":"1225500996","event_timing_status":"preopen","observed_reaction_sessions":0,"pre_event_relative_industry_5d":0.009163,"pre_event_relative_market_5d":-0.000579,"pre_event_return_20d":-0.013913,"pre_event_return_5d":-0.037351,"reaction_start_date":"2026-08-26","reaction_window_status":"awaiting_first_session","target_atr_distance_20pct":4.287}</x:v>
      </x:c>
    </x:row>
    <x:row r="56" ht="51" customHeight="1">
      <x:c r="A56" s="17" t="n">
        <x:v>46259</x:v>
      </x:c>
      <x:c r="B56" s="17" t="n">
        <x:v>46260</x:v>
      </x:c>
      <x:c r="C56" s="12" t="str">
        <x:v>002274.SZ</x:v>
      </x:c>
      <x:c r="D56" s="12" t="str">
        <x:v>co-002274</x:v>
      </x:c>
      <x:c r="E56" s="25" t="str">
        <x:v>researching-company-events</x:v>
      </x:c>
      <x:c r="F56" s="12" t="str">
        <x:v>support</x:v>
      </x:c>
      <x:c r="G56" s="25" t="str">
        <x:v>supported_with_boundary</x:v>
      </x:c>
      <x:c r="H56" s="12" t="str">
        <x:v>promoted</x:v>
      </x:c>
      <x:c r="I56" s="25" t="str">
        <x:v>half-year-report-anchor</x:v>
      </x:c>
      <x:c r="J56" s="25" t="str">
        <x:v>point-in-time-financial-v1</x:v>
      </x:c>
      <x:c r="K56" s="25" t="str">
        <x:v>{"information_level":"confirmation_only","net_profit_yoy_pct":1026.9,"operating_cash_flow_cny":197200000,"revenue_yoy_pct":24.85}</x:v>
      </x:c>
    </x:row>
    <x:row r="57" ht="51" customHeight="1">
      <x:c r="A57" s="18" t="n">
        <x:v>46259</x:v>
      </x:c>
      <x:c r="B57" s="18" t="n">
        <x:v>46260</x:v>
      </x:c>
      <x:c r="C57" s="14" t="str">
        <x:v>002274.SZ</x:v>
      </x:c>
      <x:c r="D57" s="14" t="str">
        <x:v>px-002274</x:v>
      </x:c>
      <x:c r="E57" s="26" t="str">
        <x:v>analyzing-price-trading</x:v>
      </x:c>
      <x:c r="F57" s="14" t="str">
        <x:v>support</x:v>
      </x:c>
      <x:c r="G57" s="26" t="str">
        <x:v>supported_with_boundary</x:v>
      </x:c>
      <x:c r="H57" s="14" t="str">
        <x:v>promoted</x:v>
      </x:c>
      <x:c r="I57" s="26" t="str">
        <x:v>confirmed_breakout</x:v>
      </x:c>
      <x:c r="J57" s="26" t="str">
        <x:v>price-analysis-context-v2</x:v>
      </x:c>
      <x:c r="K57" s="26" t="str">
        <x:v>{"amount_ratio_last_20d":3.5255,"breakout_vs_prior60":0.050325,"limit_up_return_contribution_5d":0,"mean_close_position_5d":0.709,"observation_date":"2026-08-25","relative_industry_return_3d":0.07394,"relative_industry_return_5d":0.084969,"relative_market_3d":0.101771,"relative_market_5d":0.131527,"return_1d":0.052033,"return_20d":0.182815,"return_3d":0.092905,"return_5d":0.094755,"target_atr_distance_20pct":7.501,"volume_price_efficiency_5d":0.8072}</x:v>
      </x:c>
    </x:row>
    <x:row r="58" ht="51" customHeight="1">
      <x:c r="A58" s="17" t="n">
        <x:v>46259</x:v>
      </x:c>
      <x:c r="B58" s="17" t="n">
        <x:v>46260</x:v>
      </x:c>
      <x:c r="C58" s="12" t="str">
        <x:v>603408.SH</x:v>
      </x:c>
      <x:c r="D58" s="12" t="str">
        <x:v>co-603408</x:v>
      </x:c>
      <x:c r="E58" s="25" t="str">
        <x:v>researching-company-events</x:v>
      </x:c>
      <x:c r="F58" s="12" t="str">
        <x:v>counter</x:v>
      </x:c>
      <x:c r="G58" s="25" t="str">
        <x:v>supported_with_boundary</x:v>
      </x:c>
      <x:c r="H58" s="12" t="str">
        <x:v>no_change</x:v>
      </x:c>
      <x:c r="I58" s="25" t="str">
        <x:v>quarterly-financial-counterevidence</x:v>
      </x:c>
      <x:c r="J58" s="25" t="str">
        <x:v>point-in-time-financial-v1</x:v>
      </x:c>
      <x:c r="K58" s="25" t="str">
        <x:v>{"net_profit_yoy_pct":-23.56,"operating_cash_flow_yoy_direction":"down","revenue_yoy_pct":14.02}</x:v>
      </x:c>
    </x:row>
    <x:row r="59" ht="51" customHeight="1">
      <x:c r="A59" s="18" t="n">
        <x:v>46259</x:v>
      </x:c>
      <x:c r="B59" s="18" t="n">
        <x:v>46260</x:v>
      </x:c>
      <x:c r="C59" s="14" t="str">
        <x:v>603408.SH</x:v>
      </x:c>
      <x:c r="D59" s="14" t="str">
        <x:v>px-603408</x:v>
      </x:c>
      <x:c r="E59" s="26" t="str">
        <x:v>analyzing-price-trading</x:v>
      </x:c>
      <x:c r="F59" s="14" t="str">
        <x:v>support</x:v>
      </x:c>
      <x:c r="G59" s="26" t="str">
        <x:v>supported_with_boundary</x:v>
      </x:c>
      <x:c r="H59" s="14" t="str">
        <x:v>promoted</x:v>
      </x:c>
      <x:c r="I59" s="26" t="str">
        <x:v>confirmed_breakout</x:v>
      </x:c>
      <x:c r="J59" s="26" t="str">
        <x:v>price-analysis-context-v2</x:v>
      </x:c>
      <x:c r="K59" s="26" t="str">
        <x:v>{"amount_ratio_last_20d":2.8068,"breakout_vs_prior60":0.031674,"limit_up_return_contribution_5d":0,"mean_close_position_5d":0.619,"observation_date":"2026-08-25","relative_industry_return_3d":0.089636,"relative_industry_return_5d":0.09513,"relative_market_3d":0.106075,"relative_market_5d":0.128727,"return_1d":0.058496,"return_20d":0.155015,"return_3d":0.097209,"return_5d":0.091954,"target_atr_distance_20pct":6.4316,"volume_price_efficiency_5d":0.8936}</x:v>
      </x:c>
    </x:row>
    <x:row r="60" ht="51" customHeight="1">
      <x:c r="A60" s="17" t="n">
        <x:v>46259</x:v>
      </x:c>
      <x:c r="B60" s="17" t="n">
        <x:v>46260</x:v>
      </x:c>
      <x:c r="C60" s="12" t="str">
        <x:v>300473.SZ</x:v>
      </x:c>
      <x:c r="D60" s="12" t="str">
        <x:v>co-300473</x:v>
      </x:c>
      <x:c r="E60" s="25" t="str">
        <x:v>researching-company-events</x:v>
      </x:c>
      <x:c r="F60" s="12" t="str">
        <x:v>support</x:v>
      </x:c>
      <x:c r="G60" s="25" t="str">
        <x:v>supported_with_boundary</x:v>
      </x:c>
      <x:c r="H60" s="12" t="str">
        <x:v>promoted</x:v>
      </x:c>
      <x:c r="I60" s="25" t="str">
        <x:v>quarterly-financial-anchor</x:v>
      </x:c>
      <x:c r="J60" s="25" t="str">
        <x:v>point-in-time-financial-v1</x:v>
      </x:c>
      <x:c r="K60" s="25" t="str">
        <x:v>{"net_profit_yoy_pct":105.8,"operating_cash_flow_cny":112200000,"revenue_yoy_pct":5.64}</x:v>
      </x:c>
    </x:row>
    <x:row r="61" ht="51" customHeight="1">
      <x:c r="A61" s="18" t="n">
        <x:v>46259</x:v>
      </x:c>
      <x:c r="B61" s="18" t="n">
        <x:v>46260</x:v>
      </x:c>
      <x:c r="C61" s="14" t="str">
        <x:v>300473.SZ</x:v>
      </x:c>
      <x:c r="D61" s="14" t="str">
        <x:v>px-300473</x:v>
      </x:c>
      <x:c r="E61" s="26" t="str">
        <x:v>analyzing-price-trading</x:v>
      </x:c>
      <x:c r="F61" s="14" t="str">
        <x:v>support</x:v>
      </x:c>
      <x:c r="G61" s="26" t="str">
        <x:v>supported_with_boundary</x:v>
      </x:c>
      <x:c r="H61" s="14" t="str">
        <x:v>promoted</x:v>
      </x:c>
      <x:c r="I61" s="26" t="str">
        <x:v>trend_continuation</x:v>
      </x:c>
      <x:c r="J61" s="26" t="str">
        <x:v>price-analysis-context-v2</x:v>
      </x:c>
      <x:c r="K61" s="26" t="str">
        <x:v>{"amount_ratio_last_20d":2.945,"breakout_vs_prior60":-0.3376,"limit_up_return_contribution_5d":0,"mean_close_position_5d":0.673,"observation_date":"2026-08-25","relative_industry_return_3d":0.11431,"relative_industry_return_5d":0.120885,"relative_market_3d":0.13944,"relative_market_5d":0.126272,"return_1d":0.003673,"return_20d":0.184489,"return_3d":0.130575,"return_5d":0.089499,"target_atr_distance_20pct":5.585,"volume_price_efficiency_5d":0.8302}</x:v>
      </x:c>
    </x:row>
    <x:row r="62" ht="51" customHeight="1">
      <x:c r="A62" s="17" t="n">
        <x:v>46259</x:v>
      </x:c>
      <x:c r="B62" s="17" t="n">
        <x:v>46260</x:v>
      </x:c>
      <x:c r="C62" s="12" t="str">
        <x:v>300816.SZ</x:v>
      </x:c>
      <x:c r="D62" s="12" t="str">
        <x:v>co-300816</x:v>
      </x:c>
      <x:c r="E62" s="25" t="str">
        <x:v>researching-company-events</x:v>
      </x:c>
      <x:c r="F62" s="12" t="str">
        <x:v>counter</x:v>
      </x:c>
      <x:c r="G62" s="25" t="str">
        <x:v>supported_with_boundary</x:v>
      </x:c>
      <x:c r="H62" s="12" t="str">
        <x:v>rejected</x:v>
      </x:c>
      <x:c r="I62" s="25" t="str">
        <x:v>cninfo-announcement-1225503175</x:v>
      </x:c>
      <x:c r="J62" s="25" t="str">
        <x:v>official-pdf-v1</x:v>
      </x:c>
      <x:c r="K62" s="25" t="str">
        <x:v>{"business_link":"indirect","contract_amount_cny":1108992000,"contract_months":60,"event_available_at":"2026-08-26T00:00:00+08:00","event_id":"1225503175"}</x:v>
      </x:c>
    </x:row>
    <x:row r="63" ht="51" customHeight="1">
      <x:c r="A63" s="18" t="n">
        <x:v>46259</x:v>
      </x:c>
      <x:c r="B63" s="18" t="n">
        <x:v>46260</x:v>
      </x:c>
      <x:c r="C63" s="14" t="str">
        <x:v>300816.SZ</x:v>
      </x:c>
      <x:c r="D63" s="14" t="str">
        <x:v>px-300816</x:v>
      </x:c>
      <x:c r="E63" s="26" t="str">
        <x:v>analyzing-price-trading</x:v>
      </x:c>
      <x:c r="F63" s="14" t="str">
        <x:v>counter</x:v>
      </x:c>
      <x:c r="G63" s="26" t="str">
        <x:v>observation_only</x:v>
      </x:c>
      <x:c r="H63" s="14" t="str">
        <x:v>rejected</x:v>
      </x:c>
      <x:c r="I63" s="26" t="str">
        <x:v>raw_price</x:v>
      </x:c>
      <x:c r="J63" s="26" t="str">
        <x:v>price-analysis-context-v2</x:v>
      </x:c>
      <x:c r="K63" s="26" t="str">
        <x:v>{"amount_ratio_last_20d":1,"observation_date":"2026-08-25","relative_industry_return_5d":-0.011241,"relative_market_5d":-0.005854,"return_20d":0.121998,"return_5d":-0.042627,"target_atr_distance_20pct":4,"volume_price_efficiency_5d":-0.2}</x:v>
      </x:c>
    </x:row>
    <x:row r="64" ht="51" customHeight="1">
      <x:c r="A64" s="17" t="n">
        <x:v>46259</x:v>
      </x:c>
      <x:c r="B64" s="17" t="n">
        <x:v>46260</x:v>
      </x:c>
      <x:c r="C64" s="12" t="str">
        <x:v>300990.SZ</x:v>
      </x:c>
      <x:c r="D64" s="12" t="str">
        <x:v>co-300990</x:v>
      </x:c>
      <x:c r="E64" s="25" t="str">
        <x:v>researching-company-events</x:v>
      </x:c>
      <x:c r="F64" s="12" t="str">
        <x:v>counter</x:v>
      </x:c>
      <x:c r="G64" s="25" t="str">
        <x:v>supported_with_boundary</x:v>
      </x:c>
      <x:c r="H64" s="12" t="str">
        <x:v>demoted</x:v>
      </x:c>
      <x:c r="I64" s="25" t="str">
        <x:v>quarterly-financial-anchor</x:v>
      </x:c>
      <x:c r="J64" s="25" t="str">
        <x:v>point-in-time-financial-v1</x:v>
      </x:c>
      <x:c r="K64" s="25" t="str">
        <x:v>{"net_profit_yoy_pct":-3.44,"operating_cash_flow_cny":143400000,"revenue_yoy_pct":21.8}</x:v>
      </x:c>
    </x:row>
    <x:row r="65" ht="51" customHeight="1">
      <x:c r="A65" s="18" t="n">
        <x:v>46259</x:v>
      </x:c>
      <x:c r="B65" s="18" t="n">
        <x:v>46260</x:v>
      </x:c>
      <x:c r="C65" s="14" t="str">
        <x:v>300990.SZ</x:v>
      </x:c>
      <x:c r="D65" s="14" t="str">
        <x:v>px-300990</x:v>
      </x:c>
      <x:c r="E65" s="26" t="str">
        <x:v>analyzing-price-trading</x:v>
      </x:c>
      <x:c r="F65" s="14" t="str">
        <x:v>comparison</x:v>
      </x:c>
      <x:c r="G65" s="26" t="str">
        <x:v>supported_with_boundary</x:v>
      </x:c>
      <x:c r="H65" s="14" t="str">
        <x:v>rejected</x:v>
      </x:c>
      <x:c r="I65" s="26" t="str">
        <x:v>raw_price</x:v>
      </x:c>
      <x:c r="J65" s="26" t="str">
        <x:v>price-analysis-context-v2</x:v>
      </x:c>
      <x:c r="K65" s="26" t="str">
        <x:v>{"amount_ratio_last_20d":2.046,"observation_date":"2026-08-25","relative_industry_return_5d":0.1454,"relative_market_5d":0.1407,"return_1d":0.1356,"return_20d":0.0103,"return_5d":0.1039,"target_atr_distance_20pct":2.763,"upper_shadow_frequency_5d":0.6,"volume_price_efficiency_5d":0.587}</x:v>
      </x:c>
    </x:row>
    <x:row r="66" ht="51" customHeight="1">
      <x:c r="A66" s="17" t="n">
        <x:v>46259</x:v>
      </x:c>
      <x:c r="B66" s="17" t="n">
        <x:v>46260</x:v>
      </x:c>
      <x:c r="C66" s="12" t="str">
        <x:v>002536.SZ</x:v>
      </x:c>
      <x:c r="D66" s="12" t="str">
        <x:v>co-002536</x:v>
      </x:c>
      <x:c r="E66" s="25" t="str">
        <x:v>researching-company-events</x:v>
      </x:c>
      <x:c r="F66" s="12" t="str">
        <x:v>counter</x:v>
      </x:c>
      <x:c r="G66" s="25" t="str">
        <x:v>supported_with_boundary</x:v>
      </x:c>
      <x:c r="H66" s="12" t="str">
        <x:v>demoted</x:v>
      </x:c>
      <x:c r="I66" s="25" t="str">
        <x:v>half-year-result-counterevidence</x:v>
      </x:c>
      <x:c r="J66" s="25" t="str">
        <x:v>point-in-time-financial-v1</x:v>
      </x:c>
      <x:c r="K66" s="25" t="str">
        <x:v>{"information_level":"confirmation_only","net_profit_yoy_pct":-64.02}</x:v>
      </x:c>
    </x:row>
    <x:row r="67" ht="51" customHeight="1">
      <x:c r="A67" s="18" t="n">
        <x:v>46259</x:v>
      </x:c>
      <x:c r="B67" s="18" t="n">
        <x:v>46260</x:v>
      </x:c>
      <x:c r="C67" s="14" t="str">
        <x:v>002536.SZ</x:v>
      </x:c>
      <x:c r="D67" s="14" t="str">
        <x:v>px-002536</x:v>
      </x:c>
      <x:c r="E67" s="26" t="str">
        <x:v>analyzing-price-trading</x:v>
      </x:c>
      <x:c r="F67" s="14" t="str">
        <x:v>comparison</x:v>
      </x:c>
      <x:c r="G67" s="26" t="str">
        <x:v>supported_with_boundary</x:v>
      </x:c>
      <x:c r="H67" s="14" t="str">
        <x:v>rejected</x:v>
      </x:c>
      <x:c r="I67" s="26" t="str">
        <x:v>raw_price</x:v>
      </x:c>
      <x:c r="J67" s="26" t="str">
        <x:v>price-analysis-context-v2</x:v>
      </x:c>
      <x:c r="K67" s="26" t="str">
        <x:v>{"amount_ratio_last_20d":1.868,"limit_up_return_contribution_5d":0.461,"observation_date":"2026-08-25","relative_industry_return_5d":0.1525,"relative_market_5d":0.1579,"return_5d":0.1211,"target_atr_distance_20pct":2.877,"volume_price_efficiency_5d":0.563}</x:v>
      </x:c>
    </x:row>
    <x:row r="68" ht="51" customHeight="1">
      <x:c r="A68" s="17" t="n">
        <x:v>46259</x:v>
      </x:c>
      <x:c r="B68" s="17" t="n">
        <x:v>46260</x:v>
      </x:c>
      <x:c r="C68" s="12" t="str">
        <x:v>002638.SZ</x:v>
      </x:c>
      <x:c r="D68" s="12" t="str">
        <x:v>sec-002638</x:v>
      </x:c>
      <x:c r="E68" s="25" t="str">
        <x:v>researching-sectors-industries</x:v>
      </x:c>
      <x:c r="F68" s="12" t="str">
        <x:v>discovery</x:v>
      </x:c>
      <x:c r="G68" s="25" t="str">
        <x:v>supported_with_boundary</x:v>
      </x:c>
      <x:c r="H68" s="12" t="str">
        <x:v>created_lead</x:v>
      </x:c>
      <x:c r="I68" s="25" t="str">
        <x:v>sector_broad_diffusion</x:v>
      </x:c>
      <x:c r="J68" s="25" t="str">
        <x:v>sector-hotspot-v3</x:v>
      </x:c>
      <x:c r="K68" s="25" t="str">
        <x:v>{"breadth_3d":0.642857,"breadth_5d":0.642857,"relative_return_3d":0.036337,"relative_return_5d":0.033601,"turnover_share_change_5d":0.000245}</x:v>
      </x:c>
    </x:row>
    <x:row r="69" ht="51" customHeight="1">
      <x:c r="A69" s="18" t="n">
        <x:v>46259</x:v>
      </x:c>
      <x:c r="B69" s="18" t="n">
        <x:v>46260</x:v>
      </x:c>
      <x:c r="C69" s="14" t="str">
        <x:v>002638.SZ</x:v>
      </x:c>
      <x:c r="D69" s="14" t="str">
        <x:v>px-002638</x:v>
      </x:c>
      <x:c r="E69" s="26" t="str">
        <x:v>analyzing-price-trading</x:v>
      </x:c>
      <x:c r="F69" s="14" t="str">
        <x:v>counter</x:v>
      </x:c>
      <x:c r="G69" s="26" t="str">
        <x:v>supported_with_boundary</x:v>
      </x:c>
      <x:c r="H69" s="14" t="str">
        <x:v>rejected</x:v>
      </x:c>
      <x:c r="I69" s="26" t="str">
        <x:v>raw_price</x:v>
      </x:c>
      <x:c r="J69" s="26" t="str">
        <x:v>price-analysis-context-v2</x:v>
      </x:c>
      <x:c r="K69" s="26" t="str">
        <x:v>{"amount_ratio_last_20d":1.9469,"limit_up_return_contribution_5d":0.5427,"observation_date":"2026-08-25","relative_industry_return_5d":0.1356,"relative_market_5d":0.1692,"return_20d":0.2711,"return_5d":0.1325,"target_atr_distance_20pct":4.449,"volume_price_efficiency_5d":0.6292}</x:v>
      </x:c>
    </x:row>
    <x:row r="70" ht="51" customHeight="1">
      <x:c r="A70" s="17" t="n">
        <x:v>46259</x:v>
      </x:c>
      <x:c r="B70" s="17" t="n">
        <x:v>46260</x:v>
      </x:c>
      <x:c r="C70" s="12" t="str">
        <x:v>000628.SZ</x:v>
      </x:c>
      <x:c r="D70" s="12" t="str">
        <x:v>sec-000628</x:v>
      </x:c>
      <x:c r="E70" s="25" t="str">
        <x:v>researching-sectors-industries</x:v>
      </x:c>
      <x:c r="F70" s="12" t="str">
        <x:v>discovery</x:v>
      </x:c>
      <x:c r="G70" s="25" t="str">
        <x:v>supported_with_boundary</x:v>
      </x:c>
      <x:c r="H70" s="12" t="str">
        <x:v>created_lead</x:v>
      </x:c>
      <x:c r="I70" s="25" t="str">
        <x:v>sector_broad_diffusion</x:v>
      </x:c>
      <x:c r="J70" s="25" t="str">
        <x:v>sector-hotspot-v3</x:v>
      </x:c>
      <x:c r="K70" s="25" t="str">
        <x:v>{"breadth_3d":0.75,"breadth_5d":0.75,"relative_return_3d":0.039656,"relative_return_5d":0.077863,"turnover_share_change_5d":0.000383}</x:v>
      </x:c>
    </x:row>
    <x:row r="71" ht="51" customHeight="1">
      <x:c r="A71" s="18" t="n">
        <x:v>46259</x:v>
      </x:c>
      <x:c r="B71" s="18" t="n">
        <x:v>46260</x:v>
      </x:c>
      <x:c r="C71" s="14" t="str">
        <x:v>000628.SZ</x:v>
      </x:c>
      <x:c r="D71" s="14" t="str">
        <x:v>px-000628</x:v>
      </x:c>
      <x:c r="E71" s="26" t="str">
        <x:v>analyzing-price-trading</x:v>
      </x:c>
      <x:c r="F71" s="14" t="str">
        <x:v>counter</x:v>
      </x:c>
      <x:c r="G71" s="26" t="str">
        <x:v>supported_with_boundary</x:v>
      </x:c>
      <x:c r="H71" s="14" t="str">
        <x:v>rejected</x:v>
      </x:c>
      <x:c r="I71" s="26" t="str">
        <x:v>raw_price</x:v>
      </x:c>
      <x:c r="J71" s="26" t="str">
        <x:v>price-analysis-context-v2</x:v>
      </x:c>
      <x:c r="K71" s="26" t="str">
        <x:v>{"amount_ratio_last_20d":1.5834,"limit_up_return_contribution_5d":0.5104,"observation_date":"2026-08-25","relative_industry_return_5d":0.0619,"relative_market_5d":0.1398,"return_20d":0.2991,"return_5d":0.103,"target_atr_distance_20pct":4.278,"volume_price_efficiency_5d":0.5128}</x:v>
      </x:c>
    </x:row>
    <x:row r="72" ht="51" customHeight="1">
      <x:c r="A72" s="17" t="n">
        <x:v>46259</x:v>
      </x:c>
      <x:c r="B72" s="17" t="n">
        <x:v>46260</x:v>
      </x:c>
      <x:c r="C72" s="12" t="str">
        <x:v>300265.SZ</x:v>
      </x:c>
      <x:c r="D72" s="12" t="str">
        <x:v>co-300265</x:v>
      </x:c>
      <x:c r="E72" s="25" t="str">
        <x:v>researching-company-events</x:v>
      </x:c>
      <x:c r="F72" s="12" t="str">
        <x:v>counter</x:v>
      </x:c>
      <x:c r="G72" s="25" t="str">
        <x:v>provisional</x:v>
      </x:c>
      <x:c r="H72" s="12" t="str">
        <x:v>rejected</x:v>
      </x:c>
      <x:c r="I72" s="25" t="str">
        <x:v>cninfo-title-1225500860</x:v>
      </x:c>
      <x:c r="J72" s="25" t="str">
        <x:v>announcement-catalog-v1</x:v>
      </x:c>
      <x:c r="K72" s="25" t="str">
        <x:v>{"body_verified":false,"event_available_at":"2026-08-25T15:54:00+08:00","event_id":"1225500860","event_stage":"pre_award_title_only"}</x:v>
      </x:c>
    </x:row>
    <x:row r="73" ht="51" customHeight="1">
      <x:c r="A73" s="18" t="n">
        <x:v>46259</x:v>
      </x:c>
      <x:c r="B73" s="18" t="n">
        <x:v>46260</x:v>
      </x:c>
      <x:c r="C73" s="14" t="str">
        <x:v>300265.SZ</x:v>
      </x:c>
      <x:c r="D73" s="14" t="str">
        <x:v>px-300265</x:v>
      </x:c>
      <x:c r="E73" s="26" t="str">
        <x:v>analyzing-price-trading</x:v>
      </x:c>
      <x:c r="F73" s="14" t="str">
        <x:v>counter</x:v>
      </x:c>
      <x:c r="G73" s="26" t="str">
        <x:v>observation_only</x:v>
      </x:c>
      <x:c r="H73" s="14" t="str">
        <x:v>rejected</x:v>
      </x:c>
      <x:c r="I73" s="26" t="str">
        <x:v>raw_price</x:v>
      </x:c>
      <x:c r="J73" s="26" t="str">
        <x:v>price-analysis-context-v2</x:v>
      </x:c>
      <x:c r="K73" s="26" t="str">
        <x:v>{"amount_ratio_last_20d":1,"observation_date":"2026-08-25","relative_industry_return_5d":-0.031463,"relative_market_5d":-0.031517,"return_20d":0.043149,"return_5d":-0.068289,"volume_price_efficiency_5d":-0.3}</x:v>
      </x:c>
    </x:row>
    <x:row r="74" ht="51" customHeight="1">
      <x:c r="A74" s="17" t="n">
        <x:v>46259</x:v>
      </x:c>
      <x:c r="B74" s="17" t="n">
        <x:v>46260</x:v>
      </x:c>
      <x:c r="C74" s="12" t="str">
        <x:v>002645.SZ</x:v>
      </x:c>
      <x:c r="D74" s="12" t="str">
        <x:v>co-002645</x:v>
      </x:c>
      <x:c r="E74" s="25" t="str">
        <x:v>researching-company-events</x:v>
      </x:c>
      <x:c r="F74" s="12" t="str">
        <x:v>counter</x:v>
      </x:c>
      <x:c r="G74" s="25" t="str">
        <x:v>supported_with_boundary</x:v>
      </x:c>
      <x:c r="H74" s="12" t="str">
        <x:v>rejected</x:v>
      </x:c>
      <x:c r="I74" s="25" t="str">
        <x:v>half-year-report-confirmation</x:v>
      </x:c>
      <x:c r="J74" s="25" t="str">
        <x:v>point-in-time-financial-v1</x:v>
      </x:c>
      <x:c r="K74" s="25" t="str">
        <x:v>{"information_level":"confirmation_only","net_profit_yoy_pct":330.3,"revenue_yoy_pct":77.13}</x:v>
      </x:c>
    </x:row>
    <x:row r="75" ht="51" customHeight="1">
      <x:c r="A75" s="18" t="n">
        <x:v>46259</x:v>
      </x:c>
      <x:c r="B75" s="18" t="n">
        <x:v>46260</x:v>
      </x:c>
      <x:c r="C75" s="14" t="str">
        <x:v>002645.SZ</x:v>
      </x:c>
      <x:c r="D75" s="14" t="str">
        <x:v>px-002645</x:v>
      </x:c>
      <x:c r="E75" s="26" t="str">
        <x:v>analyzing-price-trading</x:v>
      </x:c>
      <x:c r="F75" s="14" t="str">
        <x:v>counter</x:v>
      </x:c>
      <x:c r="G75" s="26" t="str">
        <x:v>supported_with_boundary</x:v>
      </x:c>
      <x:c r="H75" s="14" t="str">
        <x:v>rejected</x:v>
      </x:c>
      <x:c r="I75" s="26" t="str">
        <x:v>raw_price</x:v>
      </x:c>
      <x:c r="J75" s="26" t="str">
        <x:v>price-analysis-context-v2</x:v>
      </x:c>
      <x:c r="K75" s="26" t="str">
        <x:v>{"amount_ratio_last_20d":0.738,"observation_date":"2026-08-25","relative_industry_return_5d":-0.0662,"relative_market_5d":-0.0535,"return_5d":-0.0903,"volume_price_efficiency_5d":-0.833}</x:v>
      </x:c>
    </x:row>
    <x:row r="76" ht="51" customHeight="1">
      <x:c r="A76" s="17" t="n">
        <x:v>46259</x:v>
      </x:c>
      <x:c r="B76" s="17" t="n">
        <x:v>46260</x:v>
      </x:c>
      <x:c r="C76" s="12" t="str">
        <x:v>601069.SH</x:v>
      </x:c>
      <x:c r="D76" s="12" t="str">
        <x:v>co-601069</x:v>
      </x:c>
      <x:c r="E76" s="25" t="str">
        <x:v>researching-company-events</x:v>
      </x:c>
      <x:c r="F76" s="12" t="str">
        <x:v>counter</x:v>
      </x:c>
      <x:c r="G76" s="25" t="str">
        <x:v>supported_with_boundary</x:v>
      </x:c>
      <x:c r="H76" s="12" t="str">
        <x:v>rejected</x:v>
      </x:c>
      <x:c r="I76" s="25" t="str">
        <x:v>half-year-report-confirmation</x:v>
      </x:c>
      <x:c r="J76" s="25" t="str">
        <x:v>point-in-time-financial-v1</x:v>
      </x:c>
      <x:c r="K76" s="25" t="str">
        <x:v>{"information_level":"confirmation_only","net_profit_yoy_pct":244.28,"operating_cash_flow_cny":1385000000,"revenue_yoy_pct":119.61}</x:v>
      </x:c>
    </x:row>
    <x:row r="77" ht="51" customHeight="1">
      <x:c r="A77" s="18" t="n">
        <x:v>46259</x:v>
      </x:c>
      <x:c r="B77" s="18" t="n">
        <x:v>46260</x:v>
      </x:c>
      <x:c r="C77" s="14" t="str">
        <x:v>601069.SH</x:v>
      </x:c>
      <x:c r="D77" s="14" t="str">
        <x:v>px-601069</x:v>
      </x:c>
      <x:c r="E77" s="26" t="str">
        <x:v>analyzing-price-trading</x:v>
      </x:c>
      <x:c r="F77" s="14" t="str">
        <x:v>counter</x:v>
      </x:c>
      <x:c r="G77" s="26" t="str">
        <x:v>supported_with_boundary</x:v>
      </x:c>
      <x:c r="H77" s="14" t="str">
        <x:v>rejected</x:v>
      </x:c>
      <x:c r="I77" s="26" t="str">
        <x:v>raw_price</x:v>
      </x:c>
      <x:c r="J77" s="26" t="str">
        <x:v>price-analysis-context-v2</x:v>
      </x:c>
      <x:c r="K77" s="26" t="str">
        <x:v>{"amount_ratio_last_20d":1,"observation_date":"2026-08-25","relative_market_5d":0.1379,"return_1d":-0.0792,"return_20d":0.3703,"return_5d":0.1011,"target_atr_distance_20pct":3.455,"volume_price_efficiency_5d":0.4}</x:v>
      </x:c>
    </x:row>
    <x:row r="78" ht="51" customHeight="1">
      <x:c r="A78" s="17" t="n">
        <x:v>46260</x:v>
      </x:c>
      <x:c r="B78" s="17" t="n">
        <x:v>46261</x:v>
      </x:c>
      <x:c r="C78" s="12" t="str">
        <x:v>300107.SZ</x:v>
      </x:c>
      <x:c r="D78" s="12" t="str">
        <x:v>co-300107</x:v>
      </x:c>
      <x:c r="E78" s="25" t="str">
        <x:v>researching-company-events</x:v>
      </x:c>
      <x:c r="F78" s="12" t="str">
        <x:v>support</x:v>
      </x:c>
      <x:c r="G78" s="25" t="str">
        <x:v>supported_with_boundary</x:v>
      </x:c>
      <x:c r="H78" s="12" t="str">
        <x:v>promoted</x:v>
      </x:c>
      <x:c r="I78" s="25" t="str">
        <x:v>half-year-report-anchor</x:v>
      </x:c>
      <x:c r="J78" s="25" t="str">
        <x:v>point-in-time-financial-v1</x:v>
      </x:c>
      <x:c r="K78" s="25" t="str">
        <x:v>{"debt_to_assets_pct":11.4546,"deducted_net_profit_yoy_pct":940.46,"net_profit_yoy_pct":790.2723,"ocf_to_sales_pct":17.7793,"revenue_yoy_pct":51.4234}</x:v>
      </x:c>
    </x:row>
    <x:row r="79" ht="51" customHeight="1">
      <x:c r="A79" s="18" t="n">
        <x:v>46260</x:v>
      </x:c>
      <x:c r="B79" s="18" t="n">
        <x:v>46261</x:v>
      </x:c>
      <x:c r="C79" s="14" t="str">
        <x:v>300107.SZ</x:v>
      </x:c>
      <x:c r="D79" s="14" t="str">
        <x:v>px-300107</x:v>
      </x:c>
      <x:c r="E79" s="26" t="str">
        <x:v>analyzing-price-trading</x:v>
      </x:c>
      <x:c r="F79" s="14" t="str">
        <x:v>support</x:v>
      </x:c>
      <x:c r="G79" s="26" t="str">
        <x:v>supported_with_boundary</x:v>
      </x:c>
      <x:c r="H79" s="14" t="str">
        <x:v>promoted</x:v>
      </x:c>
      <x:c r="I79" s="26" t="str">
        <x:v>confirmed_breakout</x:v>
      </x:c>
      <x:c r="J79" s="26" t="str">
        <x:v>price-analysis-context-v2</x:v>
      </x:c>
      <x:c r="K79" s="26" t="str">
        <x:v>{"amount_ratio_last_20d":3.316634,"breakout_vs_prior60":0.016272,"limit_up_return_contribution_5d":0,"observation_date":"2026-08-26","relative_market_3d":0.072854,"relative_market_5d":0.098743,"return_1d":0.058552,"return_20d":0.102729,"return_3d":0.06677,"return_5d":0.0992,"target_atr_distance_20pct":6.231293,"volume_price_efficiency_5d":0.899345}</x:v>
      </x:c>
    </x:row>
    <x:row r="80" ht="51" customHeight="1">
      <x:c r="A80" s="17" t="n">
        <x:v>46260</x:v>
      </x:c>
      <x:c r="B80" s="17" t="n">
        <x:v>46261</x:v>
      </x:c>
      <x:c r="C80" s="12" t="str">
        <x:v>301289.SZ</x:v>
      </x:c>
      <x:c r="D80" s="12" t="str">
        <x:v>co-301289</x:v>
      </x:c>
      <x:c r="E80" s="25" t="str">
        <x:v>researching-company-events</x:v>
      </x:c>
      <x:c r="F80" s="12" t="str">
        <x:v>support</x:v>
      </x:c>
      <x:c r="G80" s="25" t="str">
        <x:v>supported_with_boundary</x:v>
      </x:c>
      <x:c r="H80" s="12" t="str">
        <x:v>promoted</x:v>
      </x:c>
      <x:c r="I80" s="25" t="str">
        <x:v>half-year-report-anchor</x:v>
      </x:c>
      <x:c r="J80" s="25" t="str">
        <x:v>point-in-time-financial-v1</x:v>
      </x:c>
      <x:c r="K80" s="25" t="str">
        <x:v>{"debt_to_assets_pct":19.5274,"deducted_net_profit_yoy_pct":19.44,"net_profit_yoy_pct":19.2205,"ocf_to_sales_pct":55.0628,"revenue_yoy_pct":12.3833}</x:v>
      </x:c>
    </x:row>
    <x:row r="81" ht="51" customHeight="1">
      <x:c r="A81" s="18" t="n">
        <x:v>46260</x:v>
      </x:c>
      <x:c r="B81" s="18" t="n">
        <x:v>46261</x:v>
      </x:c>
      <x:c r="C81" s="14" t="str">
        <x:v>301289.SZ</x:v>
      </x:c>
      <x:c r="D81" s="14" t="str">
        <x:v>px-301289</x:v>
      </x:c>
      <x:c r="E81" s="26" t="str">
        <x:v>analyzing-price-trading</x:v>
      </x:c>
      <x:c r="F81" s="14" t="str">
        <x:v>support</x:v>
      </x:c>
      <x:c r="G81" s="26" t="str">
        <x:v>supported_with_boundary</x:v>
      </x:c>
      <x:c r="H81" s="14" t="str">
        <x:v>promoted</x:v>
      </x:c>
      <x:c r="I81" s="26" t="str">
        <x:v>trend_continuation</x:v>
      </x:c>
      <x:c r="J81" s="26" t="str">
        <x:v>price-analysis-context-v2</x:v>
      </x:c>
      <x:c r="K81" s="26" t="str">
        <x:v>{"amount_ratio_last_20d":5.15875,"limit_up_return_contribution_5d":0,"observation_date":"2026-08-26","price_location_60d":0.654382,"relative_market_3d":0.098724,"relative_market_5d":0.108925,"return_1d":0.064465,"return_20d":0.125837,"return_3d":0.09264,"return_5d":0.109382,"target_atr_distance_20pct":5.973977,"volume_price_efficiency_5d":1}</x:v>
      </x:c>
    </x:row>
    <x:row r="82" ht="51" customHeight="1">
      <x:c r="A82" s="17" t="n">
        <x:v>46260</x:v>
      </x:c>
      <x:c r="B82" s="17" t="n">
        <x:v>46261</x:v>
      </x:c>
      <x:c r="C82" s="12" t="str">
        <x:v>300082.SZ</x:v>
      </x:c>
      <x:c r="D82" s="12" t="str">
        <x:v>co-300082</x:v>
      </x:c>
      <x:c r="E82" s="25" t="str">
        <x:v>researching-company-events</x:v>
      </x:c>
      <x:c r="F82" s="12" t="str">
        <x:v>support</x:v>
      </x:c>
      <x:c r="G82" s="25" t="str">
        <x:v>supported_with_boundary</x:v>
      </x:c>
      <x:c r="H82" s="12" t="str">
        <x:v>promoted</x:v>
      </x:c>
      <x:c r="I82" s="25" t="str">
        <x:v>half-year-report-anchor</x:v>
      </x:c>
      <x:c r="J82" s="25" t="str">
        <x:v>point-in-time-financial-v1</x:v>
      </x:c>
      <x:c r="K82" s="25" t="str">
        <x:v>{"debt_to_assets_pct":50.2031,"deducted_net_profit_yoy_pct":192.68,"net_profit_yoy_pct":4621.1272,"operating_cash_flow_cny":-139657123.7,"revenue_yoy_pct":12.4055}</x:v>
      </x:c>
    </x:row>
    <x:row r="83" ht="51" customHeight="1">
      <x:c r="A83" s="18" t="n">
        <x:v>46260</x:v>
      </x:c>
      <x:c r="B83" s="18" t="n">
        <x:v>46261</x:v>
      </x:c>
      <x:c r="C83" s="14" t="str">
        <x:v>300082.SZ</x:v>
      </x:c>
      <x:c r="D83" s="14" t="str">
        <x:v>px-300082</x:v>
      </x:c>
      <x:c r="E83" s="26" t="str">
        <x:v>analyzing-price-trading</x:v>
      </x:c>
      <x:c r="F83" s="14" t="str">
        <x:v>support</x:v>
      </x:c>
      <x:c r="G83" s="26" t="str">
        <x:v>supported_with_boundary</x:v>
      </x:c>
      <x:c r="H83" s="14" t="str">
        <x:v>promoted</x:v>
      </x:c>
      <x:c r="I83" s="26" t="str">
        <x:v>trend_continuation</x:v>
      </x:c>
      <x:c r="J83" s="26" t="str">
        <x:v>price-analysis-context-v2</x:v>
      </x:c>
      <x:c r="K83" s="26" t="str">
        <x:v>{"amount_ratio_last_20d":4.34162,"limit_up_return_contribution_5d":0,"observation_date":"2026-08-26","price_location_60d":0.692308,"relative_market_3d":0.143088,"relative_market_5d":0.183543,"return_1d":0.064748,"return_20d":0.171504,"return_3d":0.137004,"return_5d":0.184,"target_atr_distance_20pct":5.861386,"volume_price_efficiency_5d":0.99288}</x:v>
      </x:c>
    </x:row>
    <x:row r="84" ht="51" customHeight="1">
      <x:c r="A84" s="17" t="n">
        <x:v>46260</x:v>
      </x:c>
      <x:c r="B84" s="17" t="n">
        <x:v>46261</x:v>
      </x:c>
      <x:c r="C84" s="12" t="str">
        <x:v>603993.SH</x:v>
      </x:c>
      <x:c r="D84" s="12" t="str">
        <x:v>co-603993</x:v>
      </x:c>
      <x:c r="E84" s="25" t="str">
        <x:v>researching-company-events</x:v>
      </x:c>
      <x:c r="F84" s="12" t="str">
        <x:v>support</x:v>
      </x:c>
      <x:c r="G84" s="25" t="str">
        <x:v>supported_with_boundary</x:v>
      </x:c>
      <x:c r="H84" s="12" t="str">
        <x:v>promoted</x:v>
      </x:c>
      <x:c r="I84" s="25" t="str">
        <x:v>half-year-report-anchor</x:v>
      </x:c>
      <x:c r="J84" s="25" t="str">
        <x:v>point-in-time-financial-v1</x:v>
      </x:c>
      <x:c r="K84" s="25" t="str">
        <x:v>{"debt_to_assets_pct":52.158,"deducted_net_profit_yoy_pct":78.89,"net_profit_yoy_pct":86.2727,"ocf_to_sales_pct":7.2616,"revenue_yoy_pct":42.7839}</x:v>
      </x:c>
    </x:row>
    <x:row r="85" ht="51" customHeight="1">
      <x:c r="A85" s="18" t="n">
        <x:v>46260</x:v>
      </x:c>
      <x:c r="B85" s="18" t="n">
        <x:v>46261</x:v>
      </x:c>
      <x:c r="C85" s="14" t="str">
        <x:v>603993.SH</x:v>
      </x:c>
      <x:c r="D85" s="14" t="str">
        <x:v>px-603993</x:v>
      </x:c>
      <x:c r="E85" s="26" t="str">
        <x:v>analyzing-price-trading</x:v>
      </x:c>
      <x:c r="F85" s="14" t="str">
        <x:v>support</x:v>
      </x:c>
      <x:c r="G85" s="26" t="str">
        <x:v>supported_with_boundary</x:v>
      </x:c>
      <x:c r="H85" s="14" t="str">
        <x:v>promoted</x:v>
      </x:c>
      <x:c r="I85" s="26" t="str">
        <x:v>raw_price</x:v>
      </x:c>
      <x:c r="J85" s="26" t="str">
        <x:v>price-analysis-context-v2</x:v>
      </x:c>
      <x:c r="K85" s="26" t="str">
        <x:v>{"amount_ratio_last_20d":1.834363,"limit_up_return_contribution_5d":0,"observation_date":"2026-08-26","price_location_60d":0.576132,"relative_market_3d":0.058179,"relative_market_5d":0.087876,"return_1d":0.063518,"return_20d":0.02673,"return_3d":0.052095,"return_5d":0.088333,"target_atr_distance_20pct":4.571762,"volume_price_efficiency_5d":0.774988}</x:v>
      </x:c>
    </x:row>
    <x:row r="86" ht="51" customHeight="1">
      <x:c r="A86" s="17" t="n">
        <x:v>46260</x:v>
      </x:c>
      <x:c r="B86" s="17" t="n">
        <x:v>46261</x:v>
      </x:c>
      <x:c r="C86" s="12" t="str">
        <x:v>300399.SZ</x:v>
      </x:c>
      <x:c r="D86" s="12" t="str">
        <x:v>co-300399</x:v>
      </x:c>
      <x:c r="E86" s="25" t="str">
        <x:v>researching-company-events</x:v>
      </x:c>
      <x:c r="F86" s="12" t="str">
        <x:v>support</x:v>
      </x:c>
      <x:c r="G86" s="25" t="str">
        <x:v>supported_with_boundary</x:v>
      </x:c>
      <x:c r="H86" s="12" t="str">
        <x:v>no_change</x:v>
      </x:c>
      <x:c r="I86" s="25" t="str">
        <x:v>half-year-report-anchor</x:v>
      </x:c>
      <x:c r="J86" s="25" t="str">
        <x:v>point-in-time-financial-v1</x:v>
      </x:c>
      <x:c r="K86" s="25" t="str">
        <x:v>{"deducted_net_profit_yoy_pct":224.81,"net_profit_yoy_pct":60.8972,"ocf_to_sales_pct":51.1049,"revenue_yoy_pct":19.913}</x:v>
      </x:c>
    </x:row>
    <x:row r="87" ht="51" customHeight="1">
      <x:c r="A87" s="18" t="n">
        <x:v>46260</x:v>
      </x:c>
      <x:c r="B87" s="18" t="n">
        <x:v>46261</x:v>
      </x:c>
      <x:c r="C87" s="14" t="str">
        <x:v>300399.SZ</x:v>
      </x:c>
      <x:c r="D87" s="14" t="str">
        <x:v>px-300399</x:v>
      </x:c>
      <x:c r="E87" s="26" t="str">
        <x:v>analyzing-price-trading</x:v>
      </x:c>
      <x:c r="F87" s="14" t="str">
        <x:v>counter</x:v>
      </x:c>
      <x:c r="G87" s="26" t="str">
        <x:v>observation_only</x:v>
      </x:c>
      <x:c r="H87" s="14" t="str">
        <x:v>rejected</x:v>
      </x:c>
      <x:c r="I87" s="26" t="str">
        <x:v>raw_price</x:v>
      </x:c>
      <x:c r="J87" s="26" t="str">
        <x:v>price-analysis-context-v2</x:v>
      </x:c>
      <x:c r="K87" s="26" t="str">
        <x:v>{"amount_ratio_last_20d":2.073696,"observation_date":"2026-08-26","relative_market_3d":0.014101,"relative_market_5d":0.13912,"return_3d":0.008017,"return_5d":0.139577,"target_atr_distance_20pct":4.509265,"upper_shadow_frequency_5d":0.8}</x:v>
      </x:c>
    </x:row>
    <x:row r="88" ht="51" customHeight="1">
      <x:c r="A88" s="17" t="n">
        <x:v>46260</x:v>
      </x:c>
      <x:c r="B88" s="17" t="n">
        <x:v>46261</x:v>
      </x:c>
      <x:c r="C88" s="12" t="str">
        <x:v>300690.SZ</x:v>
      </x:c>
      <x:c r="D88" s="12" t="str">
        <x:v>co-300690</x:v>
      </x:c>
      <x:c r="E88" s="25" t="str">
        <x:v>researching-company-events</x:v>
      </x:c>
      <x:c r="F88" s="12" t="str">
        <x:v>counter</x:v>
      </x:c>
      <x:c r="G88" s="25" t="str">
        <x:v>supported_with_boundary</x:v>
      </x:c>
      <x:c r="H88" s="12" t="str">
        <x:v>demoted</x:v>
      </x:c>
      <x:c r="I88" s="25" t="str">
        <x:v>half-year-report-anchor</x:v>
      </x:c>
      <x:c r="J88" s="25" t="str">
        <x:v>point-in-time-financial-v1</x:v>
      </x:c>
      <x:c r="K88" s="25" t="str">
        <x:v>{"deducted_net_profit_yoy_pct":-12.44,"net_profit_yoy_pct":34.4029,"ocf_to_sales_pct":19.9397,"revenue_yoy_pct":13.9832}</x:v>
      </x:c>
    </x:row>
    <x:row r="89" ht="51" customHeight="1">
      <x:c r="A89" s="18" t="n">
        <x:v>46260</x:v>
      </x:c>
      <x:c r="B89" s="18" t="n">
        <x:v>46261</x:v>
      </x:c>
      <x:c r="C89" s="14" t="str">
        <x:v>300690.SZ</x:v>
      </x:c>
      <x:c r="D89" s="14" t="str">
        <x:v>px-300690</x:v>
      </x:c>
      <x:c r="E89" s="26" t="str">
        <x:v>analyzing-price-trading</x:v>
      </x:c>
      <x:c r="F89" s="14" t="str">
        <x:v>counter</x:v>
      </x:c>
      <x:c r="G89" s="26" t="str">
        <x:v>observation_only</x:v>
      </x:c>
      <x:c r="H89" s="14" t="str">
        <x:v>rejected</x:v>
      </x:c>
      <x:c r="I89" s="26" t="str">
        <x:v>raw_price</x:v>
      </x:c>
      <x:c r="J89" s="26" t="str">
        <x:v>price-analysis-context-v2</x:v>
      </x:c>
      <x:c r="K89" s="26" t="str">
        <x:v>{"amount_ratio_last_20d":3.374397,"fade_frequency_5d":0.6,"observation_date":"2026-08-26","relative_market_1d":-0.030347,"relative_market_5d":0.124051,"return_1d":-0.021832,"return_3d":0.108147,"return_5d":0.124508,"target_atr_distance_20pct":6.238908,"upper_shadow_frequency_5d":0.8}</x:v>
      </x:c>
    </x:row>
    <x:row r="90" ht="51" customHeight="1">
      <x:c r="A90" s="17" t="n">
        <x:v>46260</x:v>
      </x:c>
      <x:c r="B90" s="17" t="n">
        <x:v>46261</x:v>
      </x:c>
      <x:c r="C90" s="12" t="str">
        <x:v>603588.SH</x:v>
      </x:c>
      <x:c r="D90" s="12" t="str">
        <x:v>co-603588</x:v>
      </x:c>
      <x:c r="E90" s="25" t="str">
        <x:v>researching-company-events</x:v>
      </x:c>
      <x:c r="F90" s="12" t="str">
        <x:v>counter</x:v>
      </x:c>
      <x:c r="G90" s="25" t="str">
        <x:v>supported_with_boundary</x:v>
      </x:c>
      <x:c r="H90" s="12" t="str">
        <x:v>demoted</x:v>
      </x:c>
      <x:c r="I90" s="25" t="str">
        <x:v>half-year-report-anchor</x:v>
      </x:c>
      <x:c r="J90" s="25" t="str">
        <x:v>point-in-time-financial-v1</x:v>
      </x:c>
      <x:c r="K90" s="25" t="str">
        <x:v>{"debt_to_assets_pct":61.4859,"net_profit_yoy_pct":103.374,"ocf_to_sales_pct":2.8309,"revenue_yoy_pct":54.0155}</x:v>
      </x:c>
    </x:row>
    <x:row r="91" ht="51" customHeight="1">
      <x:c r="A91" s="18" t="n">
        <x:v>46260</x:v>
      </x:c>
      <x:c r="B91" s="18" t="n">
        <x:v>46261</x:v>
      </x:c>
      <x:c r="C91" s="14" t="str">
        <x:v>603588.SH</x:v>
      </x:c>
      <x:c r="D91" s="14" t="str">
        <x:v>px-603588</x:v>
      </x:c>
      <x:c r="E91" s="26" t="str">
        <x:v>analyzing-price-trading</x:v>
      </x:c>
      <x:c r="F91" s="14" t="str">
        <x:v>comparison</x:v>
      </x:c>
      <x:c r="G91" s="26" t="str">
        <x:v>observation_only</x:v>
      </x:c>
      <x:c r="H91" s="14" t="str">
        <x:v>rejected</x:v>
      </x:c>
      <x:c r="I91" s="26" t="str">
        <x:v>raw_price</x:v>
      </x:c>
      <x:c r="J91" s="26" t="str">
        <x:v>price-analysis-context-v2</x:v>
      </x:c>
      <x:c r="K91" s="26" t="str">
        <x:v>{"amount_ratio_last_20d":1.750716,"fade_frequency_5d":0.6,"observation_date":"2026-08-26","relative_market_5d":0.092163,"return_20d":0.140723,"return_5d":0.09262,"target_atr_distance_20pct":4.230321,"upper_shadow_frequency_5d":0.8,"volume_price_efficiency_5d":0.789981}</x:v>
      </x:c>
    </x:row>
    <x:row r="92" ht="51" customHeight="1">
      <x:c r="A92" s="17" t="n">
        <x:v>46261</x:v>
      </x:c>
      <x:c r="B92" s="17" t="n">
        <x:v>46262</x:v>
      </x:c>
      <x:c r="C92" s="12" t="str">
        <x:v>003816.SZ</x:v>
      </x:c>
      <x:c r="D92" s="12" t="str">
        <x:v>co-003816</x:v>
      </x:c>
      <x:c r="E92" s="25" t="str">
        <x:v>researching-company-events</x:v>
      </x:c>
      <x:c r="F92" s="12" t="str">
        <x:v>counter</x:v>
      </x:c>
      <x:c r="G92" s="25" t="str">
        <x:v>supported_with_boundary</x:v>
      </x:c>
      <x:c r="H92" s="12" t="str">
        <x:v>no_change</x:v>
      </x:c>
      <x:c r="I92" s="25" t="str">
        <x:v>company-profile-and-q1-anchor</x:v>
      </x:c>
      <x:c r="J92" s="25" t="str">
        <x:v>point-in-time-company-v1</x:v>
      </x:c>
      <x:c r="K92" s="25" t="str">
        <x:v>{"business_link_direct":true,"net_profit_yoy_pct":-9.4141,"revenue_yoy_pct":-18.5172}</x:v>
      </x:c>
    </x:row>
    <x:row r="93" ht="51" customHeight="1">
      <x:c r="A93" s="18" t="n">
        <x:v>46261</x:v>
      </x:c>
      <x:c r="B93" s="18" t="n">
        <x:v>46262</x:v>
      </x:c>
      <x:c r="C93" s="14" t="str">
        <x:v>003816.SZ</x:v>
      </x:c>
      <x:c r="D93" s="14" t="str">
        <x:v>px-003816</x:v>
      </x:c>
      <x:c r="E93" s="26" t="str">
        <x:v>analyzing-price-trading</x:v>
      </x:c>
      <x:c r="F93" s="14" t="str">
        <x:v>support</x:v>
      </x:c>
      <x:c r="G93" s="26" t="str">
        <x:v>supported_with_boundary</x:v>
      </x:c>
      <x:c r="H93" s="14" t="str">
        <x:v>promoted</x:v>
      </x:c>
      <x:c r="I93" s="26" t="str">
        <x:v>initial_activation</x:v>
      </x:c>
      <x:c r="J93" s="26" t="str">
        <x:v>price-analysis-context-v2</x:v>
      </x:c>
      <x:c r="K93" s="26" t="str">
        <x:v>{"amount_ratio_last_20d":1.653764,"limit_up_return_contribution_5d":0,"observation_date":"2026-08-27","price_location_60d":0.663913,"relative_market_3d":0.062604,"relative_market_5d":0.071933,"return_1d":0.009662,"return_20d":0.004808,"return_3d":0.07732,"return_5d":0.080103,"target_atr_distance_20pct":10.385093,"volume_price_efficiency_5d":0.94873}</x:v>
      </x:c>
    </x:row>
    <x:row r="94" ht="51" customHeight="1">
      <x:c r="A94" s="17" t="n">
        <x:v>46261</x:v>
      </x:c>
      <x:c r="B94" s="17" t="n">
        <x:v>46262</x:v>
      </x:c>
      <x:c r="C94" s="12" t="str">
        <x:v>000655.SZ</x:v>
      </x:c>
      <x:c r="D94" s="12" t="str">
        <x:v>co-000655</x:v>
      </x:c>
      <x:c r="E94" s="25" t="str">
        <x:v>researching-company-events</x:v>
      </x:c>
      <x:c r="F94" s="12" t="str">
        <x:v>support</x:v>
      </x:c>
      <x:c r="G94" s="25" t="str">
        <x:v>supported_with_boundary</x:v>
      </x:c>
      <x:c r="H94" s="12" t="str">
        <x:v>promoted</x:v>
      </x:c>
      <x:c r="I94" s="25" t="str">
        <x:v>annual-and-q1-financial-anchor</x:v>
      </x:c>
      <x:c r="J94" s="25" t="str">
        <x:v>point-in-time-financial-v1</x:v>
      </x:c>
      <x:c r="K94" s="25" t="str">
        <x:v>{"annual_net_profit_yoy_pct":31.4382,"annual_revenue_yoy_pct":7.6413,"q1_net_profit_yoy_pct":-28.4575,"q1_revenue_yoy_pct":9.091}</x:v>
      </x:c>
    </x:row>
    <x:row r="95" ht="51" customHeight="1">
      <x:c r="A95" s="18" t="n">
        <x:v>46261</x:v>
      </x:c>
      <x:c r="B95" s="18" t="n">
        <x:v>46262</x:v>
      </x:c>
      <x:c r="C95" s="14" t="str">
        <x:v>000655.SZ</x:v>
      </x:c>
      <x:c r="D95" s="14" t="str">
        <x:v>px-000655</x:v>
      </x:c>
      <x:c r="E95" s="26" t="str">
        <x:v>analyzing-price-trading</x:v>
      </x:c>
      <x:c r="F95" s="14" t="str">
        <x:v>support</x:v>
      </x:c>
      <x:c r="G95" s="26" t="str">
        <x:v>supported_with_boundary</x:v>
      </x:c>
      <x:c r="H95" s="14" t="str">
        <x:v>promoted</x:v>
      </x:c>
      <x:c r="I95" s="26" t="str">
        <x:v>confirmed_breakout</x:v>
      </x:c>
      <x:c r="J95" s="26" t="str">
        <x:v>price-analysis-context-v2</x:v>
      </x:c>
      <x:c r="K95" s="26" t="str">
        <x:v>{"amount_ratio_last_20d":1.607715,"breakout_vs_prior60":0.006849,"limit_up_return_contribution_5d":0,"observation_date":"2026-08-27","relative_market_3d":0.026361,"relative_market_5d":0.058593,"return_1d":0.009615,"return_20d":0.092125,"return_3d":0.041076,"return_5d":0.066763,"target_atr_distance_20pct":8.672566,"volume_price_efficiency_5d":1}</x:v>
      </x:c>
    </x:row>
    <x:row r="96" ht="51" customHeight="1">
      <x:c r="A96" s="17" t="n">
        <x:v>46261</x:v>
      </x:c>
      <x:c r="B96" s="17" t="n">
        <x:v>46262</x:v>
      </x:c>
      <x:c r="C96" s="12" t="str">
        <x:v>000801.SZ</x:v>
      </x:c>
      <x:c r="D96" s="12" t="str">
        <x:v>sec-000801</x:v>
      </x:c>
      <x:c r="E96" s="25" t="str">
        <x:v>researching-sectors-industries</x:v>
      </x:c>
      <x:c r="F96" s="12" t="str">
        <x:v>support</x:v>
      </x:c>
      <x:c r="G96" s="25" t="str">
        <x:v>supported_with_boundary</x:v>
      </x:c>
      <x:c r="H96" s="12" t="str">
        <x:v>promoted</x:v>
      </x:c>
      <x:c r="I96" s="25" t="str">
        <x:v>sector_broad_diffusion</x:v>
      </x:c>
      <x:c r="J96" s="25" t="str">
        <x:v>sector-hotspot-v3</x:v>
      </x:c>
      <x:c r="K96" s="25" t="str">
        <x:v>{"breadth_3d":1,"breadth_5d":0.888889,"group_code":"801112.SI","median_return_3d":0.054088,"median_return_5d":0.03118,"relative_return_3d":0.038067,"relative_return_5d":0.023742,"top3_positive_contribution":0.720907,"turnover_share_change_5d":0.000262}</x:v>
      </x:c>
    </x:row>
    <x:row r="97" ht="51" customHeight="1">
      <x:c r="A97" s="18" t="n">
        <x:v>46261</x:v>
      </x:c>
      <x:c r="B97" s="18" t="n">
        <x:v>46262</x:v>
      </x:c>
      <x:c r="C97" s="14" t="str">
        <x:v>000801.SZ</x:v>
      </x:c>
      <x:c r="D97" s="14" t="str">
        <x:v>co-000801</x:v>
      </x:c>
      <x:c r="E97" s="26" t="str">
        <x:v>researching-company-events</x:v>
      </x:c>
      <x:c r="F97" s="14" t="str">
        <x:v>counter</x:v>
      </x:c>
      <x:c r="G97" s="26" t="str">
        <x:v>supported_with_boundary</x:v>
      </x:c>
      <x:c r="H97" s="14" t="str">
        <x:v>no_change</x:v>
      </x:c>
      <x:c r="I97" s="26" t="str">
        <x:v>company-profile-and-q1-anchor</x:v>
      </x:c>
      <x:c r="J97" s="26" t="str">
        <x:v>point-in-time-company-v1</x:v>
      </x:c>
      <x:c r="K97" s="26" t="str">
        <x:v>{"business_link_direct":true,"net_profit_yoy_pct":-32.1974,"revenue_yoy_pct":23.8737}</x:v>
      </x:c>
    </x:row>
    <x:row r="98" ht="51" customHeight="1">
      <x:c r="A98" s="17" t="n">
        <x:v>46261</x:v>
      </x:c>
      <x:c r="B98" s="17" t="n">
        <x:v>46262</x:v>
      </x:c>
      <x:c r="C98" s="12" t="str">
        <x:v>000801.SZ</x:v>
      </x:c>
      <x:c r="D98" s="12" t="str">
        <x:v>px-000801</x:v>
      </x:c>
      <x:c r="E98" s="25" t="str">
        <x:v>analyzing-price-trading</x:v>
      </x:c>
      <x:c r="F98" s="12" t="str">
        <x:v>support</x:v>
      </x:c>
      <x:c r="G98" s="25" t="str">
        <x:v>supported_with_boundary</x:v>
      </x:c>
      <x:c r="H98" s="12" t="str">
        <x:v>promoted</x:v>
      </x:c>
      <x:c r="I98" s="25" t="str">
        <x:v>raw_price</x:v>
      </x:c>
      <x:c r="J98" s="25" t="str">
        <x:v>price-analysis-context-v2</x:v>
      </x:c>
      <x:c r="K98" s="25" t="str">
        <x:v>{"amount_ratio_last_20d":1.513895,"limit_up_return_contribution_5d":0,"observation_date":"2026-08-27","price_location_60d":0.473251,"relative_industry_return_5d":0.042633,"relative_market_3d":0.049191,"relative_market_5d":0.066375,"return_1d":0.032314,"return_20d":0.023377,"return_3d":0.063906,"return_5d":0.074545,"target_atr_distance_20pct":7.932886,"volume_price_efficiency_5d":1}</x:v>
      </x:c>
    </x:row>
    <x:row r="99" ht="51" customHeight="1">
      <x:c r="A99" s="18" t="n">
        <x:v>46261</x:v>
      </x:c>
      <x:c r="B99" s="18" t="n">
        <x:v>46262</x:v>
      </x:c>
      <x:c r="C99" s="14" t="str">
        <x:v>000513.SZ</x:v>
      </x:c>
      <x:c r="D99" s="14" t="str">
        <x:v>co-000513</x:v>
      </x:c>
      <x:c r="E99" s="26" t="str">
        <x:v>researching-company-events</x:v>
      </x:c>
      <x:c r="F99" s="14" t="str">
        <x:v>support</x:v>
      </x:c>
      <x:c r="G99" s="26" t="str">
        <x:v>supported_with_boundary</x:v>
      </x:c>
      <x:c r="H99" s="14" t="str">
        <x:v>created_lead</x:v>
      </x:c>
      <x:c r="I99" s="26" t="str">
        <x:v>1225520257</x:v>
      </x:c>
      <x:c r="J99" s="26" t="str">
        <x:v>official-announcement-v1</x:v>
      </x:c>
      <x:c r="K99" s="26" t="str">
        <x:v>{"direct_rnd_investment_cny":223310000,"domestic_first_il17af":true,"event_id":"1225520257","registration_approved":true}</x:v>
      </x:c>
    </x:row>
    <x:row r="100" ht="51" customHeight="1">
      <x:c r="A100" s="17" t="n">
        <x:v>46261</x:v>
      </x:c>
      <x:c r="B100" s="17" t="n">
        <x:v>46262</x:v>
      </x:c>
      <x:c r="C100" s="12" t="str">
        <x:v>000513.SZ</x:v>
      </x:c>
      <x:c r="D100" s="12" t="str">
        <x:v>px-action-000513</x:v>
      </x:c>
      <x:c r="E100" s="25" t="str">
        <x:v>analyzing-price-trading</x:v>
      </x:c>
      <x:c r="F100" s="12" t="str">
        <x:v>action_condition</x:v>
      </x:c>
      <x:c r="G100" s="25" t="str">
        <x:v>provisional</x:v>
      </x:c>
      <x:c r="H100" s="12" t="str">
        <x:v>promoted</x:v>
      </x:c>
      <x:c r="I100" s="25" t="str">
        <x:v>event_price_reaction</x:v>
      </x:c>
      <x:c r="J100" s="25" t="str">
        <x:v>event-price-reaction-v3</x:v>
      </x:c>
      <x:c r="K100" s="25" t="str">
        <x:v>{"event_available_at":"2026-08-28T00:00:00+08:00","event_id":"1225520257","event_timing_status":"preopen","observed_reaction_sessions":0,"original_action_condition":"仅在行动日正常双向可成交、未以不可参与的高开透支，且成交能推动有效收盘时成立","pre_event_relative_industry_5d":-0.111665,"pre_event_relative_market_5d":-0.149674,"pre_event_return_20d":-0.152854,"pre_event_return_5d":-0.141503,"reaction_start_date":"2026-08-28","reaction_window_status":"awaiting_first_session","target_atr_distance_20pct":6.71867}</x:v>
      </x:c>
    </x:row>
    <x:row r="101" ht="51" customHeight="1">
      <x:c r="A101" s="18" t="n">
        <x:v>46261</x:v>
      </x:c>
      <x:c r="B101" s="18" t="n">
        <x:v>46262</x:v>
      </x:c>
      <x:c r="C101" s="14" t="str">
        <x:v>301085.SZ</x:v>
      </x:c>
      <x:c r="D101" s="14" t="str">
        <x:v>co-301085</x:v>
      </x:c>
      <x:c r="E101" s="26" t="str">
        <x:v>researching-company-events</x:v>
      </x:c>
      <x:c r="F101" s="14" t="str">
        <x:v>support</x:v>
      </x:c>
      <x:c r="G101" s="26" t="str">
        <x:v>supported_with_boundary</x:v>
      </x:c>
      <x:c r="H101" s="14" t="str">
        <x:v>created_lead</x:v>
      </x:c>
      <x:c r="I101" s="26" t="str">
        <x:v>1225519100</x:v>
      </x:c>
      <x:c r="J101" s="26" t="str">
        <x:v>official-announcement-v1</x:v>
      </x:c>
      <x:c r="K101" s="26" t="str">
        <x:v>{"contract_months":60,"contract_to_2025_revenue":0.6897,"contract_value_cny":925440000,"event_id":"1225519100","monthly_prepayment":true}</x:v>
      </x:c>
    </x:row>
    <x:row r="102" ht="51" customHeight="1">
      <x:c r="A102" s="17" t="n">
        <x:v>46261</x:v>
      </x:c>
      <x:c r="B102" s="17" t="n">
        <x:v>46262</x:v>
      </x:c>
      <x:c r="C102" s="12" t="str">
        <x:v>301085.SZ</x:v>
      </x:c>
      <x:c r="D102" s="12" t="str">
        <x:v>px-action-301085</x:v>
      </x:c>
      <x:c r="E102" s="25" t="str">
        <x:v>analyzing-price-trading</x:v>
      </x:c>
      <x:c r="F102" s="12" t="str">
        <x:v>action_condition</x:v>
      </x:c>
      <x:c r="G102" s="25" t="str">
        <x:v>provisional</x:v>
      </x:c>
      <x:c r="H102" s="12" t="str">
        <x:v>promoted</x:v>
      </x:c>
      <x:c r="I102" s="25" t="str">
        <x:v>event_price_reaction</x:v>
      </x:c>
      <x:c r="J102" s="25" t="str">
        <x:v>event-price-reaction-v3</x:v>
      </x:c>
      <x:c r="K102" s="25" t="str">
        <x:v>{"event_available_at":"2026-08-27T17:48:10+08:00","event_id":"1225519100","event_timing_status":"after_close","observed_reaction_sessions":0,"original_action_condition":"仅在行动日正常双向可成交、没有高开耗尽有限波动路径，且首日成交与收盘共同确认时成立","pre_event_relative_industry_5d":-0.020258,"pre_event_relative_market_5d":-0.01868,"pre_event_return_20d":0.078742,"pre_event_return_5d":-0.010509,"reaction_start_date":"2026-08-28","reaction_window_status":"awaiting_first_session","target_atr_distance_20pct":3.296471}</x:v>
      </x:c>
    </x:row>
    <x:row r="103" ht="51" customHeight="1">
      <x:c r="A103" s="18" t="n">
        <x:v>46261</x:v>
      </x:c>
      <x:c r="B103" s="18" t="n">
        <x:v>46262</x:v>
      </x:c>
      <x:c r="C103" s="14" t="str">
        <x:v>002111.SZ</x:v>
      </x:c>
      <x:c r="D103" s="14" t="str">
        <x:v>co-002111</x:v>
      </x:c>
      <x:c r="E103" s="26" t="str">
        <x:v>researching-company-events</x:v>
      </x:c>
      <x:c r="F103" s="14" t="str">
        <x:v>discovery</x:v>
      </x:c>
      <x:c r="G103" s="26" t="str">
        <x:v>supported_with_boundary</x:v>
      </x:c>
      <x:c r="H103" s="14" t="str">
        <x:v>created_lead</x:v>
      </x:c>
      <x:c r="I103" s="26" t="str">
        <x:v>1225516059</x:v>
      </x:c>
      <x:c r="J103" s="26" t="str">
        <x:v>official-announcement-v1</x:v>
      </x:c>
      <x:c r="K103" s="26" t="str">
        <x:v>{"contract_to_2025_revenue":0.0346,"contract_value_cny":115000000,"event_id":"1225516059","prepayment_received":true}</x:v>
      </x:c>
    </x:row>
    <x:row r="104" ht="51" customHeight="1">
      <x:c r="A104" s="17" t="n">
        <x:v>46261</x:v>
      </x:c>
      <x:c r="B104" s="17" t="n">
        <x:v>46262</x:v>
      </x:c>
      <x:c r="C104" s="12" t="str">
        <x:v>002111.SZ</x:v>
      </x:c>
      <x:c r="D104" s="12" t="str">
        <x:v>px-002111</x:v>
      </x:c>
      <x:c r="E104" s="25" t="str">
        <x:v>analyzing-price-trading</x:v>
      </x:c>
      <x:c r="F104" s="12" t="str">
        <x:v>counter</x:v>
      </x:c>
      <x:c r="G104" s="25" t="str">
        <x:v>observation_only</x:v>
      </x:c>
      <x:c r="H104" s="12" t="str">
        <x:v>rejected</x:v>
      </x:c>
      <x:c r="I104" s="25" t="str">
        <x:v>raw_price</x:v>
      </x:c>
      <x:c r="J104" s="25" t="str">
        <x:v>price-analysis-context-v2</x:v>
      </x:c>
      <x:c r="K104" s="25" t="str">
        <x:v>{"amount_ratio_last_20d":1.671769,"observation_date":"2026-08-27","relative_industry_return_5d":-0.032208,"relative_market_5d":-0.009232,"return_20d":-0.007384,"return_5d":-0.001062,"target_atr_distance_20pct":8.835681,"volume_price_efficiency_5d":-0.235011}</x:v>
      </x:c>
    </x:row>
    <x:row r="105" ht="51" customHeight="1">
      <x:c r="A105" s="18" t="n">
        <x:v>46261</x:v>
      </x:c>
      <x:c r="B105" s="18" t="n">
        <x:v>46262</x:v>
      </x:c>
      <x:c r="C105" s="14" t="str">
        <x:v>301111.SZ</x:v>
      </x:c>
      <x:c r="D105" s="14" t="str">
        <x:v>co-301111</x:v>
      </x:c>
      <x:c r="E105" s="26" t="str">
        <x:v>researching-company-events</x:v>
      </x:c>
      <x:c r="F105" s="14" t="str">
        <x:v>discovery</x:v>
      </x:c>
      <x:c r="G105" s="26" t="str">
        <x:v>supported_with_boundary</x:v>
      </x:c>
      <x:c r="H105" s="14" t="str">
        <x:v>created_lead</x:v>
      </x:c>
      <x:c r="I105" s="26" t="str">
        <x:v>1225516754</x:v>
      </x:c>
      <x:c r="J105" s="26" t="str">
        <x:v>official-announcement-v1</x:v>
      </x:c>
      <x:c r="K105" s="26" t="str">
        <x:v>{"contract_to_2025_revenue":3.954,"estimated_contract_value_cny":1244160000,"event_id":"1225516754","gross_margin_high_pct":20,"gross_margin_low_pct":10,"no_material_2026_impact":true}</x:v>
      </x:c>
    </x:row>
    <x:row r="106" ht="51" customHeight="1">
      <x:c r="A106" s="17" t="n">
        <x:v>46261</x:v>
      </x:c>
      <x:c r="B106" s="17" t="n">
        <x:v>46262</x:v>
      </x:c>
      <x:c r="C106" s="12" t="str">
        <x:v>301111.SZ</x:v>
      </x:c>
      <x:c r="D106" s="12" t="str">
        <x:v>px-301111</x:v>
      </x:c>
      <x:c r="E106" s="25" t="str">
        <x:v>analyzing-price-trading</x:v>
      </x:c>
      <x:c r="F106" s="12" t="str">
        <x:v>counter</x:v>
      </x:c>
      <x:c r="G106" s="25" t="str">
        <x:v>observation_only</x:v>
      </x:c>
      <x:c r="H106" s="12" t="str">
        <x:v>rejected</x:v>
      </x:c>
      <x:c r="I106" s="25" t="str">
        <x:v>raw_price</x:v>
      </x:c>
      <x:c r="J106" s="25" t="str">
        <x:v>price-analysis-context-v2</x:v>
      </x:c>
      <x:c r="K106" s="25" t="str">
        <x:v>{"amount_ratio_last_20d":1.193885,"observation_date":"2026-08-27","relative_industry_return_5d":0.049266,"relative_market_5d":0.036845,"return_20d":0.368833,"return_5d":0.045016,"target_atr_distance_20pct":3.723404,"volume_price_efficiency_5d":0.445251}</x:v>
      </x:c>
    </x:row>
    <x:row r="107" ht="51" customHeight="1">
      <x:c r="A107" s="18" t="n">
        <x:v>46261</x:v>
      </x:c>
      <x:c r="B107" s="18" t="n">
        <x:v>46262</x:v>
      </x:c>
      <x:c r="C107" s="14" t="str">
        <x:v>002011.SZ</x:v>
      </x:c>
      <x:c r="D107" s="14" t="str">
        <x:v>sec-002011</x:v>
      </x:c>
      <x:c r="E107" s="26" t="str">
        <x:v>researching-sectors-industries</x:v>
      </x:c>
      <x:c r="F107" s="14" t="str">
        <x:v>support</x:v>
      </x:c>
      <x:c r="G107" s="26" t="str">
        <x:v>supported_with_boundary</x:v>
      </x:c>
      <x:c r="H107" s="14" t="str">
        <x:v>created_lead</x:v>
      </x:c>
      <x:c r="I107" s="26" t="str">
        <x:v>sector_broad_diffusion</x:v>
      </x:c>
      <x:c r="J107" s="26" t="str">
        <x:v>sector-hotspot-v3</x:v>
      </x:c>
      <x:c r="K107" s="26" t="str">
        <x:v>{"breadth_3d":0.794118,"breadth_5d":0.588235,"group_code":"801116.SI","median_return_3d":0.019115,"median_return_5d":0.013285,"relative_return_3d":0.014698,"relative_return_5d":0.010421,"top3_positive_contribution":0.396421,"turnover_share_change_5d":0.000037}</x:v>
      </x:c>
    </x:row>
    <x:row r="108" ht="51" customHeight="1">
      <x:c r="A108" s="17" t="n">
        <x:v>46261</x:v>
      </x:c>
      <x:c r="B108" s="17" t="n">
        <x:v>46262</x:v>
      </x:c>
      <x:c r="C108" s="12" t="str">
        <x:v>002011.SZ</x:v>
      </x:c>
      <x:c r="D108" s="12" t="str">
        <x:v>co-002011</x:v>
      </x:c>
      <x:c r="E108" s="25" t="str">
        <x:v>researching-company-events</x:v>
      </x:c>
      <x:c r="F108" s="12" t="str">
        <x:v>counter</x:v>
      </x:c>
      <x:c r="G108" s="25" t="str">
        <x:v>supported_with_boundary</x:v>
      </x:c>
      <x:c r="H108" s="12" t="str">
        <x:v>demoted</x:v>
      </x:c>
      <x:c r="I108" s="25" t="str">
        <x:v>half-year-report-anchor</x:v>
      </x:c>
      <x:c r="J108" s="25" t="str">
        <x:v>point-in-time-financial-v1</x:v>
      </x:c>
      <x:c r="K108" s="25" t="str">
        <x:v>{"business_link_direct":true,"net_profit_yoy_pct":-12.792,"revenue_yoy_pct":7.4502}</x:v>
      </x:c>
    </x:row>
    <x:row r="109" ht="51" customHeight="1">
      <x:c r="A109" s="18" t="n">
        <x:v>46261</x:v>
      </x:c>
      <x:c r="B109" s="18" t="n">
        <x:v>46262</x:v>
      </x:c>
      <x:c r="C109" s="14" t="str">
        <x:v>002011.SZ</x:v>
      </x:c>
      <x:c r="D109" s="14" t="str">
        <x:v>px-002011</x:v>
      </x:c>
      <x:c r="E109" s="26" t="str">
        <x:v>analyzing-price-trading</x:v>
      </x:c>
      <x:c r="F109" s="14" t="str">
        <x:v>comparison</x:v>
      </x:c>
      <x:c r="G109" s="26" t="str">
        <x:v>supported_with_boundary</x:v>
      </x:c>
      <x:c r="H109" s="14" t="str">
        <x:v>rejected</x:v>
      </x:c>
      <x:c r="I109" s="26" t="str">
        <x:v>initial_activation</x:v>
      </x:c>
      <x:c r="J109" s="26" t="str">
        <x:v>price-analysis-context-v2</x:v>
      </x:c>
      <x:c r="K109" s="26" t="str">
        <x:v>{"amount_ratio_last_20d":1.587472,"observation_date":"2026-08-27","price_location_60d":0.301383,"relative_industry_return_5d":0.020802,"relative_market_3d":0.036357,"relative_market_5d":0.031223,"return_20d":-0.014256,"return_3d":0.051073,"return_5d":0.039394,"target_atr_distance_20pct":11.799486,"volume_price_efficiency_5d":0.766614}</x:v>
      </x:c>
    </x:row>
    <x:row r="110" ht="51" customHeight="1">
      <x:c r="A110" s="17" t="n">
        <x:v>46262</x:v>
      </x:c>
      <x:c r="B110" s="17" t="n">
        <x:v>46265</x:v>
      </x:c>
      <x:c r="C110" s="12" t="str">
        <x:v>002430.SZ</x:v>
      </x:c>
      <x:c r="D110" s="12" t="str">
        <x:v>co-002430</x:v>
      </x:c>
      <x:c r="E110" s="25" t="str">
        <x:v>researching-company-events</x:v>
      </x:c>
      <x:c r="F110" s="12" t="str">
        <x:v>support</x:v>
      </x:c>
      <x:c r="G110" s="25" t="str">
        <x:v>supported_with_boundary</x:v>
      </x:c>
      <x:c r="H110" s="12" t="str">
        <x:v>promoted</x:v>
      </x:c>
      <x:c r="I110" s="25" t="str">
        <x:v>company-profile-and-h1-anchor</x:v>
      </x:c>
      <x:c r="J110" s="25" t="str">
        <x:v>point-in-time-company-v1</x:v>
      </x:c>
      <x:c r="K110" s="25" t="str">
        <x:v>{"business_link_direct":true,"net_profit_yoy_pct":17.55,"operating_cashflow_yoy_pct":-2.12,"revenue_yoy_pct":18.63}</x:v>
      </x:c>
    </x:row>
    <x:row r="111" ht="51" customHeight="1">
      <x:c r="A111" s="18" t="n">
        <x:v>46262</x:v>
      </x:c>
      <x:c r="B111" s="18" t="n">
        <x:v>46265</x:v>
      </x:c>
      <x:c r="C111" s="14" t="str">
        <x:v>002430.SZ</x:v>
      </x:c>
      <x:c r="D111" s="14" t="str">
        <x:v>px-002430</x:v>
      </x:c>
      <x:c r="E111" s="26" t="str">
        <x:v>analyzing-price-trading</x:v>
      </x:c>
      <x:c r="F111" s="14" t="str">
        <x:v>support</x:v>
      </x:c>
      <x:c r="G111" s="26" t="str">
        <x:v>supported_with_boundary</x:v>
      </x:c>
      <x:c r="H111" s="14" t="str">
        <x:v>promoted</x:v>
      </x:c>
      <x:c r="I111" s="26" t="str">
        <x:v>raw_price</x:v>
      </x:c>
      <x:c r="J111" s="26" t="str">
        <x:v>price-analysis-context-v2</x:v>
      </x:c>
      <x:c r="K111" s="26" t="str">
        <x:v>{"amount_ratio_last_20d":3.208,"limit_up_return_contribution_5d":0,"observation_date":"2026-08-28","relative_industry_return_5d":0.10291,"relative_market_3d":0.11191,"relative_market_5d":0.12851,"return_1d":0.05923,"return_20d":0.13571,"return_3d":0.12446,"return_5d":0.1264,"target_atr_distance_20pct":7.618,"volume_price_efficiency_5d":0.948}</x:v>
      </x:c>
    </x:row>
    <x:row r="112" ht="51" customHeight="1">
      <x:c r="A112" s="17" t="n">
        <x:v>46262</x:v>
      </x:c>
      <x:c r="B112" s="17" t="n">
        <x:v>46265</x:v>
      </x:c>
      <x:c r="C112" s="12" t="str">
        <x:v>300910.SZ</x:v>
      </x:c>
      <x:c r="D112" s="12" t="str">
        <x:v>sec-300910</x:v>
      </x:c>
      <x:c r="E112" s="25" t="str">
        <x:v>researching-sectors-industries</x:v>
      </x:c>
      <x:c r="F112" s="12" t="str">
        <x:v>support</x:v>
      </x:c>
      <x:c r="G112" s="25" t="str">
        <x:v>supported_with_boundary</x:v>
      </x:c>
      <x:c r="H112" s="12" t="str">
        <x:v>promoted</x:v>
      </x:c>
      <x:c r="I112" s="25" t="str">
        <x:v>sector_broad_diffusion</x:v>
      </x:c>
      <x:c r="J112" s="25" t="str">
        <x:v>sector-hotspot-v3</x:v>
      </x:c>
      <x:c r="K112" s="25" t="str">
        <x:v>{"breadth_3d":0.765027,"breadth_5d":0.710383,"effective_member_count":184,"group_code":"801034.SI","relative_return_3d":0.017363,"relative_return_5d":0.025592,"top3_positive_contribution":0.085376,"turnover_share_change_5d":0.004612}</x:v>
      </x:c>
    </x:row>
    <x:row r="113" ht="51" customHeight="1">
      <x:c r="A113" s="18" t="n">
        <x:v>46262</x:v>
      </x:c>
      <x:c r="B113" s="18" t="n">
        <x:v>46265</x:v>
      </x:c>
      <x:c r="C113" s="14" t="str">
        <x:v>300910.SZ</x:v>
      </x:c>
      <x:c r="D113" s="14" t="str">
        <x:v>co-300910</x:v>
      </x:c>
      <x:c r="E113" s="26" t="str">
        <x:v>researching-company-events</x:v>
      </x:c>
      <x:c r="F113" s="14" t="str">
        <x:v>counter</x:v>
      </x:c>
      <x:c r="G113" s="26" t="str">
        <x:v>supported_with_boundary</x:v>
      </x:c>
      <x:c r="H113" s="14" t="str">
        <x:v>no_change</x:v>
      </x:c>
      <x:c r="I113" s="26" t="str">
        <x:v>company-profile-and-q1-anchor</x:v>
      </x:c>
      <x:c r="J113" s="26" t="str">
        <x:v>point-in-time-company-v1</x:v>
      </x:c>
      <x:c r="K113" s="26" t="str">
        <x:v>{"business_link_direct":true,"debt_to_assets_pct":26.02,"net_profit_yoy_pct":-28.22,"revenue_yoy_pct":3.24}</x:v>
      </x:c>
    </x:row>
    <x:row r="114" ht="51" customHeight="1">
      <x:c r="A114" s="17" t="n">
        <x:v>46262</x:v>
      </x:c>
      <x:c r="B114" s="17" t="n">
        <x:v>46265</x:v>
      </x:c>
      <x:c r="C114" s="12" t="str">
        <x:v>300910.SZ</x:v>
      </x:c>
      <x:c r="D114" s="12" t="str">
        <x:v>px-300910</x:v>
      </x:c>
      <x:c r="E114" s="25" t="str">
        <x:v>analyzing-price-trading</x:v>
      </x:c>
      <x:c r="F114" s="12" t="str">
        <x:v>support</x:v>
      </x:c>
      <x:c r="G114" s="25" t="str">
        <x:v>supported_with_boundary</x:v>
      </x:c>
      <x:c r="H114" s="12" t="str">
        <x:v>promoted</x:v>
      </x:c>
      <x:c r="I114" s="25" t="str">
        <x:v>raw_price</x:v>
      </x:c>
      <x:c r="J114" s="25" t="str">
        <x:v>price-analysis-context-v2</x:v>
      </x:c>
      <x:c r="K114" s="25" t="str">
        <x:v>{"amount_ratio_last_20d":2.212,"limit_up_return_contribution_5d":0,"observation_date":"2026-08-28","relative_industry_return_5d":0.12005,"relative_market_3d":0.12018,"relative_market_5d":0.14564,"return_1d":0.04279,"return_20d":-0.03877,"return_3d":0.13273,"return_5d":0.14354,"target_atr_distance_20pct":7.168,"volume_price_efficiency_5d":1}</x:v>
      </x:c>
    </x:row>
    <x:row r="115" ht="51" customHeight="1">
      <x:c r="A115" s="18" t="n">
        <x:v>46262</x:v>
      </x:c>
      <x:c r="B115" s="18" t="n">
        <x:v>46265</x:v>
      </x:c>
      <x:c r="C115" s="14" t="str">
        <x:v>600150.SH</x:v>
      </x:c>
      <x:c r="D115" s="14" t="str">
        <x:v>ev-600150</x:v>
      </x:c>
      <x:c r="E115" s="26" t="str">
        <x:v>researching-company-events</x:v>
      </x:c>
      <x:c r="F115" s="14" t="str">
        <x:v>support</x:v>
      </x:c>
      <x:c r="G115" s="26" t="str">
        <x:v>supported_with_boundary</x:v>
      </x:c>
      <x:c r="H115" s="14" t="str">
        <x:v>promoted</x:v>
      </x:c>
      <x:c r="I115" s="26" t="str">
        <x:v>major-contract-official-announcement</x:v>
      </x:c>
      <x:c r="J115" s="26" t="str">
        <x:v>official-announcement-v1</x:v>
      </x:c>
      <x:c r="K115" s="26" t="str">
        <x:v>{"business_link_direct":true,"contract_count":12,"contract_value_usd_billion":2.688,"current_profit_materiality_limited":true,"event_id":"sse:1e66c9854a42f42f8e20e37ab4c38188353660fced935fcba1311672545dd729","signed_and_effective":true}</x:v>
      </x:c>
    </x:row>
    <x:row r="116" ht="51" customHeight="1">
      <x:c r="A116" s="17" t="n">
        <x:v>46262</x:v>
      </x:c>
      <x:c r="B116" s="17" t="n">
        <x:v>46265</x:v>
      </x:c>
      <x:c r="C116" s="12" t="str">
        <x:v>600150.SH</x:v>
      </x:c>
      <x:c r="D116" s="12" t="str">
        <x:v>act-600150</x:v>
      </x:c>
      <x:c r="E116" s="25" t="str">
        <x:v>analyzing-price-trading</x:v>
      </x:c>
      <x:c r="F116" s="12" t="str">
        <x:v>action_condition</x:v>
      </x:c>
      <x:c r="G116" s="25" t="str">
        <x:v>supported_with_boundary</x:v>
      </x:c>
      <x:c r="H116" s="12" t="str">
        <x:v>promoted</x:v>
      </x:c>
      <x:c r="I116" s="25" t="str">
        <x:v>event_price_reaction</x:v>
      </x:c>
      <x:c r="J116" s="25" t="str">
        <x:v>event-price-reaction-v3</x:v>
      </x:c>
      <x:c r="K116" s="25" t="str">
        <x:v>{"event_available_at":"2026-08-28T09:04:06+00:00","event_id":"sse:1e66c9854a42f42f8e20e37ab4c38188353660fced935fcba1311672545dd729","event_timing_status":"after_close","observed_reaction_sessions":0,"pre_event_relative_industry_5d":0.0036912,"pre_event_relative_market_5d":0.0347645,"pre_event_return_20d":-0.0113701,"pre_event_return_5d":0.0326603,"reaction_start_date":"2026-08-31","reaction_window_status":"awaiting_first_session","target_atr_distance_20pct":9.496}</x:v>
      </x:c>
    </x:row>
    <x:row r="117" ht="51" customHeight="1">
      <x:c r="A117" s="18" t="n">
        <x:v>46262</x:v>
      </x:c>
      <x:c r="B117" s="18" t="n">
        <x:v>46265</x:v>
      </x:c>
      <x:c r="C117" s="14" t="str">
        <x:v>000928.SZ</x:v>
      </x:c>
      <x:c r="D117" s="14" t="str">
        <x:v>co-000928</x:v>
      </x:c>
      <x:c r="E117" s="26" t="str">
        <x:v>researching-company-events</x:v>
      </x:c>
      <x:c r="F117" s="14" t="str">
        <x:v>counter</x:v>
      </x:c>
      <x:c r="G117" s="26" t="str">
        <x:v>supported_with_boundary</x:v>
      </x:c>
      <x:c r="H117" s="14" t="str">
        <x:v>no_change</x:v>
      </x:c>
      <x:c r="I117" s="26" t="str">
        <x:v>company-profile-and-h1-anchor</x:v>
      </x:c>
      <x:c r="J117" s="26" t="str">
        <x:v>point-in-time-company-v1</x:v>
      </x:c>
      <x:c r="K117" s="26" t="str">
        <x:v>{"business_link_direct":true,"net_profit_yoy_pct":-6.1787,"operating_cashflow_yoy_pct":76.442,"revenue_yoy_pct":-1.0587}</x:v>
      </x:c>
    </x:row>
    <x:row r="118" ht="51" customHeight="1">
      <x:c r="A118" s="17" t="n">
        <x:v>46262</x:v>
      </x:c>
      <x:c r="B118" s="17" t="n">
        <x:v>46265</x:v>
      </x:c>
      <x:c r="C118" s="12" t="str">
        <x:v>000928.SZ</x:v>
      </x:c>
      <x:c r="D118" s="12" t="str">
        <x:v>px-000928</x:v>
      </x:c>
      <x:c r="E118" s="25" t="str">
        <x:v>analyzing-price-trading</x:v>
      </x:c>
      <x:c r="F118" s="12" t="str">
        <x:v>support</x:v>
      </x:c>
      <x:c r="G118" s="25" t="str">
        <x:v>supported_with_boundary</x:v>
      </x:c>
      <x:c r="H118" s="12" t="str">
        <x:v>promoted</x:v>
      </x:c>
      <x:c r="I118" s="25" t="str">
        <x:v>raw_price</x:v>
      </x:c>
      <x:c r="J118" s="25" t="str">
        <x:v>price-analysis-context-v2</x:v>
      </x:c>
      <x:c r="K118" s="25" t="str">
        <x:v>{"amount_ratio_last_20d":2.241,"limit_up_return_contribution_5d":0,"observation_date":"2026-08-28","relative_industry_return_5d":0.05027,"relative_market_3d":0.02659,"relative_market_5d":0.077,"return_1d":0.02907,"return_20d":0.0153,"return_3d":0.03914,"return_5d":0.0749,"target_atr_distance_20pct":11.005,"volume_price_efficiency_5d":0.938}</x:v>
      </x:c>
    </x:row>
    <x:row r="119" ht="51" customHeight="1">
      <x:c r="A119" s="18" t="n">
        <x:v>46262</x:v>
      </x:c>
      <x:c r="B119" s="18" t="n">
        <x:v>46265</x:v>
      </x:c>
      <x:c r="C119" s="14" t="str">
        <x:v>603596.SH</x:v>
      </x:c>
      <x:c r="D119" s="14" t="str">
        <x:v>co-603596</x:v>
      </x:c>
      <x:c r="E119" s="26" t="str">
        <x:v>researching-company-events</x:v>
      </x:c>
      <x:c r="F119" s="14" t="str">
        <x:v>counter</x:v>
      </x:c>
      <x:c r="G119" s="26" t="str">
        <x:v>supported_with_boundary</x:v>
      </x:c>
      <x:c r="H119" s="14" t="str">
        <x:v>demoted</x:v>
      </x:c>
      <x:c r="I119" s="26" t="str">
        <x:v>company-profile-and-q1-anchor</x:v>
      </x:c>
      <x:c r="J119" s="26" t="str">
        <x:v>point-in-time-company-v1</x:v>
      </x:c>
      <x:c r="K119" s="26" t="str">
        <x:v>{"business_link_direct":true,"net_profit_yoy_pct":-0.636,"revenue_yoy_pct":1.381}</x:v>
      </x:c>
    </x:row>
    <x:row r="120" ht="51" customHeight="1">
      <x:c r="A120" s="17" t="n">
        <x:v>46262</x:v>
      </x:c>
      <x:c r="B120" s="17" t="n">
        <x:v>46265</x:v>
      </x:c>
      <x:c r="C120" s="12" t="str">
        <x:v>603596.SH</x:v>
      </x:c>
      <x:c r="D120" s="12" t="str">
        <x:v>px-603596</x:v>
      </x:c>
      <x:c r="E120" s="25" t="str">
        <x:v>analyzing-price-trading</x:v>
      </x:c>
      <x:c r="F120" s="12" t="str">
        <x:v>comparison</x:v>
      </x:c>
      <x:c r="G120" s="25" t="str">
        <x:v>supported_with_boundary</x:v>
      </x:c>
      <x:c r="H120" s="12" t="str">
        <x:v>demoted</x:v>
      </x:c>
      <x:c r="I120" s="25" t="str">
        <x:v>raw_price</x:v>
      </x:c>
      <x:c r="J120" s="25" t="str">
        <x:v>price-analysis-context-v2</x:v>
      </x:c>
      <x:c r="K120" s="25" t="str">
        <x:v>{"amount_ratio_last_20d":2.968,"mean_close_position_5d":0.534,"observation_date":"2026-08-28","relative_industry_return_5d":0.09697,"relative_market_5d":0.11675,"return_1d":0.08108,"return_20d":0.07157,"return_3d":0.08949,"return_5d":0.11465,"target_atr_distance_20pct":5.714,"volume_price_efficiency_5d":0.98}</x:v>
      </x:c>
    </x:row>
    <x:row r="121" ht="51" customHeight="1">
      <x:c r="A121" s="18" t="n">
        <x:v>46262</x:v>
      </x:c>
      <x:c r="B121" s="18" t="n">
        <x:v>46265</x:v>
      </x:c>
      <x:c r="C121" s="14" t="str">
        <x:v>300022.SZ</x:v>
      </x:c>
      <x:c r="D121" s="14" t="str">
        <x:v>ev-300022</x:v>
      </x:c>
      <x:c r="E121" s="26" t="str">
        <x:v>researching-company-events</x:v>
      </x:c>
      <x:c r="F121" s="14" t="str">
        <x:v>counter</x:v>
      </x:c>
      <x:c r="G121" s="26" t="str">
        <x:v>supported_with_boundary</x:v>
      </x:c>
      <x:c r="H121" s="14" t="str">
        <x:v>rejected</x:v>
      </x:c>
      <x:c r="I121" s="26" t="str">
        <x:v>award-notice-official-announcement</x:v>
      </x:c>
      <x:c r="J121" s="26" t="str">
        <x:v>official-announcement-v1</x:v>
      </x:c>
      <x:c r="K121" s="26" t="str">
        <x:v>{"business_link_direct":false,"company_share_pct":76.8,"event_id":"1225524631","formal_contract_signed":false,"project_total_cny_million":148.882}</x:v>
      </x:c>
    </x:row>
    <x:row r="122" ht="51" customHeight="1">
      <x:c r="A122" s="17" t="n">
        <x:v>46262</x:v>
      </x:c>
      <x:c r="B122" s="17" t="n">
        <x:v>46265</x:v>
      </x:c>
      <x:c r="C122" s="12" t="str">
        <x:v>300022.SZ</x:v>
      </x:c>
      <x:c r="D122" s="12" t="str">
        <x:v>px-300022</x:v>
      </x:c>
      <x:c r="E122" s="25" t="str">
        <x:v>analyzing-price-trading</x:v>
      </x:c>
      <x:c r="F122" s="12" t="str">
        <x:v>comparison</x:v>
      </x:c>
      <x:c r="G122" s="25" t="str">
        <x:v>observation_only</x:v>
      </x:c>
      <x:c r="H122" s="12" t="str">
        <x:v>demoted</x:v>
      </x:c>
      <x:c r="I122" s="25" t="str">
        <x:v>raw_price</x:v>
      </x:c>
      <x:c r="J122" s="25" t="str">
        <x:v>price-analysis-context-v2</x:v>
      </x:c>
      <x:c r="K122" s="25" t="str">
        <x:v>{"amount_ratio_last_20d":1.809,"observation_date":"2026-08-28","relative_industry_return_5d":0.007191,"relative_market_5d":0.037862,"return_20d":0.072797,"return_5d":0.035758,"target_atr_distance_20pct":7.104,"volume_price_efficiency_5d":0.912}</x:v>
      </x:c>
    </x:row>
    <x:row r="123" ht="51" customHeight="1">
      <x:c r="A123" s="18" t="n">
        <x:v>46262</x:v>
      </x:c>
      <x:c r="B123" s="18" t="n">
        <x:v>46265</x:v>
      </x:c>
      <x:c r="C123" s="14" t="str">
        <x:v>600293.SH</x:v>
      </x:c>
      <x:c r="D123" s="14" t="str">
        <x:v>sec-600293</x:v>
      </x:c>
      <x:c r="E123" s="26" t="str">
        <x:v>researching-sectors-industries</x:v>
      </x:c>
      <x:c r="F123" s="14" t="str">
        <x:v>support</x:v>
      </x:c>
      <x:c r="G123" s="26" t="str">
        <x:v>supported_with_boundary</x:v>
      </x:c>
      <x:c r="H123" s="14" t="str">
        <x:v>created_lead</x:v>
      </x:c>
      <x:c r="I123" s="26" t="str">
        <x:v>sector_broad_diffusion</x:v>
      </x:c>
      <x:c r="J123" s="26" t="str">
        <x:v>sector-hotspot-v3</x:v>
      </x:c>
      <x:c r="K123" s="26" t="str">
        <x:v>{"breadth_3d":1,"breadth_5d":0.6875,"effective_member_count":16,"group_code":"801712.SI","relative_return_3d":0.024087,"relative_return_5d":0.01534,"top3_positive_contribution":0.669807,"turnover_share_change_5d":0.000476}</x:v>
      </x:c>
    </x:row>
    <x:row r="124" ht="51" customHeight="1">
      <x:c r="A124" s="17" t="n">
        <x:v>46262</x:v>
      </x:c>
      <x:c r="B124" s="17" t="n">
        <x:v>46265</x:v>
      </x:c>
      <x:c r="C124" s="12" t="str">
        <x:v>600293.SH</x:v>
      </x:c>
      <x:c r="D124" s="12" t="str">
        <x:v>co-600293</x:v>
      </x:c>
      <x:c r="E124" s="25" t="str">
        <x:v>researching-company-events</x:v>
      </x:c>
      <x:c r="F124" s="12" t="str">
        <x:v>counter</x:v>
      </x:c>
      <x:c r="G124" s="25" t="str">
        <x:v>supported_with_boundary</x:v>
      </x:c>
      <x:c r="H124" s="12" t="str">
        <x:v>rejected</x:v>
      </x:c>
      <x:c r="I124" s="25" t="str">
        <x:v>company-profile-and-q1-anchor</x:v>
      </x:c>
      <x:c r="J124" s="25" t="str">
        <x:v>point-in-time-company-v1</x:v>
      </x:c>
      <x:c r="K124" s="25" t="str">
        <x:v>{"business_link_direct":true,"current_ratio":0.872,"net_profit_yoy_pct":-340.41,"revenue_yoy_pct":-26.49}</x:v>
      </x:c>
    </x:row>
    <x:row r="125" ht="51" customHeight="1">
      <x:c r="A125" s="18" t="n">
        <x:v>46262</x:v>
      </x:c>
      <x:c r="B125" s="18" t="n">
        <x:v>46265</x:v>
      </x:c>
      <x:c r="C125" s="14" t="str">
        <x:v>600293.SH</x:v>
      </x:c>
      <x:c r="D125" s="14" t="str">
        <x:v>px-600293</x:v>
      </x:c>
      <x:c r="E125" s="26" t="str">
        <x:v>analyzing-price-trading</x:v>
      </x:c>
      <x:c r="F125" s="14" t="str">
        <x:v>comparison</x:v>
      </x:c>
      <x:c r="G125" s="26" t="str">
        <x:v>supported_with_boundary</x:v>
      </x:c>
      <x:c r="H125" s="14" t="str">
        <x:v>demoted</x:v>
      </x:c>
      <x:c r="I125" s="26" t="str">
        <x:v>raw_price</x:v>
      </x:c>
      <x:c r="J125" s="26" t="str">
        <x:v>price-analysis-context-v2</x:v>
      </x:c>
      <x:c r="K125" s="26" t="str">
        <x:v>{"amount_ratio_last_20d":2.796,"observation_date":"2026-08-28","relative_industry_return_5d":0.05015,"relative_market_5d":0.06548,"return_1d":0.04138,"return_20d":0.12268,"return_3d":0.05594,"return_5d":0.06338,"target_atr_distance_20pct":6.53,"volume_price_efficiency_5d":0.839}</x:v>
      </x:c>
    </x:row>
    <x:row r="126" ht="51" customHeight="1">
      <x:c r="A126" s="17" t="n">
        <x:v>46262</x:v>
      </x:c>
      <x:c r="B126" s="17" t="n">
        <x:v>46265</x:v>
      </x:c>
      <x:c r="C126" s="12" t="str">
        <x:v>600998.SH</x:v>
      </x:c>
      <x:c r="D126" s="12" t="str">
        <x:v>ev-600998</x:v>
      </x:c>
      <x:c r="E126" s="25" t="str">
        <x:v>researching-company-events</x:v>
      </x:c>
      <x:c r="F126" s="12" t="str">
        <x:v>counter</x:v>
      </x:c>
      <x:c r="G126" s="25" t="str">
        <x:v>supported_with_boundary</x:v>
      </x:c>
      <x:c r="H126" s="12" t="str">
        <x:v>rejected</x:v>
      </x:c>
      <x:c r="I126" s="25" t="str">
        <x:v>award-notice-official-announcement</x:v>
      </x:c>
      <x:c r="J126" s="25" t="str">
        <x:v>official-announcement-v1</x:v>
      </x:c>
      <x:c r="K126" s="25" t="str">
        <x:v>{"business_link_direct":true,"event_id":"sse:9821b2caa0c71e15aa8a311d4a63bfb129b124337bac31e4cb9c7990e2b85988","formal_contract_signed":false,"project_value_cny_million":43.1205,"service_days":730}</x:v>
      </x:c>
    </x:row>
    <x:row r="127" ht="51" customHeight="1">
      <x:c r="A127" s="18" t="n">
        <x:v>46262</x:v>
      </x:c>
      <x:c r="B127" s="18" t="n">
        <x:v>46265</x:v>
      </x:c>
      <x:c r="C127" s="14" t="str">
        <x:v>600998.SH</x:v>
      </x:c>
      <x:c r="D127" s="14" t="str">
        <x:v>px-600998</x:v>
      </x:c>
      <x:c r="E127" s="26" t="str">
        <x:v>analyzing-price-trading</x:v>
      </x:c>
      <x:c r="F127" s="14" t="str">
        <x:v>comparison</x:v>
      </x:c>
      <x:c r="G127" s="26" t="str">
        <x:v>observation_only</x:v>
      </x:c>
      <x:c r="H127" s="14" t="str">
        <x:v>rejected</x:v>
      </x:c>
      <x:c r="I127" s="26" t="str">
        <x:v>raw_price</x:v>
      </x:c>
      <x:c r="J127" s="26" t="str">
        <x:v>price-analysis-context-v2</x:v>
      </x:c>
      <x:c r="K127" s="26" t="str">
        <x:v>{"amount_ratio_last_20d":0.57,"observation_date":"2026-08-28","relative_industry_return_5d":-0.017509,"relative_market_5d":0.000068,"return_20d":-0.048544,"return_5d":-0.002037,"target_atr_distance_20pct":12,"volume_price_efficiency_5d":0.027}</x:v>
      </x:c>
    </x:row>
  </x:sheetData>
  <x:pageMargins left="0.7" right="0.7" top="0.75" bottom="0.75" header="0.3" footer="0.3"/>
  <x:tableParts count="1">
    <x:tablePart xmlns:r="http://schemas.openxmlformats.org/officeDocument/2006/relationships" r:id="R432da26bb10f4d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9.779999732971191" hidden="0" customWidth="1"/>
    <x:col min="4" max="4" width="9.329999923706055" hidden="0" customWidth="1"/>
    <x:col min="5" max="5" width="9.779999732971191" hidden="0" customWidth="1"/>
    <x:col min="6" max="6" width="17.780000686645508" hidden="0" customWidth="1"/>
    <x:col min="7" max="7" width="28.889999389648438" hidden="0" customWidth="1"/>
    <x:col min="8" max="8" width="53.33000183105469" hidden="0" customWidth="1"/>
    <x:col min="9" max="9" width="21.110000610351562" hidden="0" customWidth="1"/>
    <x:col min="10" max="10" width="11.109999656677246" hidden="0" customWidth="1"/>
    <x:col min="11" max="11" width="10.5600004196167" hidden="0" customWidth="1"/>
    <x:col min="12" max="12" width="28.889999389648438" hidden="0" customWidth="1"/>
  </x:cols>
  <x:sheetData>
    <x:row r="1" ht="25.5" customHeight="1">
      <x:c r="A1" s="16" t="str">
        <x:v>形成日</x:v>
      </x:c>
      <x:c r="B1" s="16" t="str">
        <x:v>行动日</x:v>
      </x:c>
      <x:c r="C1" s="11" t="str">
        <x:v>代码</x:v>
      </x:c>
      <x:c r="D1" s="11" t="str">
        <x:v>名称</x:v>
      </x:c>
      <x:c r="E1" s="11" t="str">
        <x:v>最终命运</x:v>
      </x:c>
      <x:c r="F1" s="11" t="str">
        <x:v>机会类型</x:v>
      </x:c>
      <x:c r="G1" s="11" t="str">
        <x:v>来源Skill</x:v>
      </x:c>
      <x:c r="H1" s="11" t="str">
        <x:v>进入/淘汰依据</x:v>
      </x:c>
      <x:c r="I1" s="11" t="str">
        <x:v>发动机</x:v>
      </x:c>
      <x:c r="J1" s="11" t="str">
        <x:v>发动机状态</x:v>
      </x:c>
      <x:c r="K1" s="11" t="str">
        <x:v>市场确认</x:v>
      </x:c>
      <x:c r="L1" s="11" t="str">
        <x:v>格式说明</x:v>
      </x:c>
    </x:row>
    <x:row r="2" ht="48" customHeight="1">
      <x:c r="A2" s="17" t="n">
        <x:v>46253</x:v>
      </x:c>
      <x:c r="B2" s="17" t="n">
        <x:v>46254</x:v>
      </x:c>
      <x:c r="C2" s="12" t="str">
        <x:v>000703.SZ</x:v>
      </x:c>
      <x:c r="D2" s="12" t="str">
        <x:v>恒逸石化</x:v>
      </x:c>
      <x:c r="E2" s="12" t="str">
        <x:v>selected</x:v>
      </x:c>
      <x:c r="F2" s="25"/>
      <x:c r="G2" s="25" t="str">
        <x:v>["sector","company","price"]</x:v>
      </x:c>
      <x:c r="H2" s="25" t="str">
        <x:v>炼油化工多成员逆市增强，半年报利润增量与文莱炼厂、聚酯链传导相连，价格形成日非封板有效推进。</x:v>
      </x:c>
      <x:c r="I2" s="25" t="str"/>
      <x:c r="J2" s="12" t="str"/>
      <x:c r="K2" s="12" t="str"/>
      <x:c r="L2" s="25" t="str">
        <x:v>legacy_candidate_chain; no V4 research_thesis was recorded</x:v>
      </x:c>
    </x:row>
    <x:row r="3" ht="48" customHeight="1">
      <x:c r="A3" s="18" t="n">
        <x:v>46253</x:v>
      </x:c>
      <x:c r="B3" s="18" t="n">
        <x:v>46254</x:v>
      </x:c>
      <x:c r="C3" s="14" t="str">
        <x:v>601609.SH</x:v>
      </x:c>
      <x:c r="D3" s="14" t="str">
        <x:v>金田股份</x:v>
      </x:c>
      <x:c r="E3" s="14" t="str">
        <x:v>selected</x:v>
      </x:c>
      <x:c r="F3" s="26"/>
      <x:c r="G3" s="26" t="str">
        <x:v>["company","price"]</x:v>
      </x:c>
      <x:c r="H3" s="26" t="str">
        <x:v>极弱市场中的独立量价增量最突出，半年报收入和利润改善提供公司层增强。</x:v>
      </x:c>
      <x:c r="I3" s="26" t="str"/>
      <x:c r="J3" s="14" t="str"/>
      <x:c r="K3" s="14" t="str"/>
      <x:c r="L3" s="26" t="str">
        <x:v>legacy_candidate_chain; no V4 research_thesis was recorded</x:v>
      </x:c>
    </x:row>
    <x:row r="4" ht="48" customHeight="1">
      <x:c r="A4" s="17" t="n">
        <x:v>46253</x:v>
      </x:c>
      <x:c r="B4" s="17" t="n">
        <x:v>46254</x:v>
      </x:c>
      <x:c r="C4" s="12" t="str">
        <x:v>600408.SH</x:v>
      </x:c>
      <x:c r="D4" s="12" t="str">
        <x:v>安泰集团</x:v>
      </x:c>
      <x:c r="E4" s="12" t="str">
        <x:v>selected</x:v>
      </x:c>
      <x:c r="F4" s="25"/>
      <x:c r="G4" s="25" t="str">
        <x:v>["sector","price"]</x:v>
      </x:c>
      <x:c r="H4" s="25" t="str">
        <x:v>焦炭扩散最强，个股未封板且长期位置低于同组强股，保留了较好的可参与性与路径。</x:v>
      </x:c>
      <x:c r="I4" s="25" t="str"/>
      <x:c r="J4" s="12" t="str"/>
      <x:c r="K4" s="12" t="str"/>
      <x:c r="L4" s="25" t="str">
        <x:v>legacy_candidate_chain; no V4 research_thesis was recorded</x:v>
      </x:c>
    </x:row>
    <x:row r="5" ht="48" customHeight="1">
      <x:c r="A5" s="18" t="n">
        <x:v>46253</x:v>
      </x:c>
      <x:c r="B5" s="18" t="n">
        <x:v>46254</x:v>
      </x:c>
      <x:c r="C5" s="14" t="str">
        <x:v>002508.SZ</x:v>
      </x:c>
      <x:c r="D5" s="14" t="str">
        <x:v>老板电器</x:v>
      </x:c>
      <x:c r="E5" s="14" t="str">
        <x:v>selected</x:v>
      </x:c>
      <x:c r="F5" s="26"/>
      <x:c r="G5" s="26" t="str">
        <x:v>["sector","price"]</x:v>
      </x:c>
      <x:c r="H5" s="26" t="str">
        <x:v>厨卫电器多成员扩散已经成立，个股放量推进但累计延伸明显低于封板同业。</x:v>
      </x:c>
      <x:c r="I5" s="26" t="str"/>
      <x:c r="J5" s="14" t="str"/>
      <x:c r="K5" s="14" t="str"/>
      <x:c r="L5" s="26" t="str">
        <x:v>legacy_candidate_chain; no V4 research_thesis was recorded</x:v>
      </x:c>
    </x:row>
    <x:row r="6" ht="48" customHeight="1">
      <x:c r="A6" s="17" t="n">
        <x:v>46253</x:v>
      </x:c>
      <x:c r="B6" s="17" t="n">
        <x:v>46254</x:v>
      </x:c>
      <x:c r="C6" s="12" t="str">
        <x:v>600346.SH</x:v>
      </x:c>
      <x:c r="D6" s="12" t="str">
        <x:v>恒力石化</x:v>
      </x:c>
      <x:c r="E6" s="12" t="str">
        <x:v>rejected</x:v>
      </x:c>
      <x:c r="F6" s="25"/>
      <x:c r="G6" s="25" t="str">
        <x:v>["sector","company","price"]</x:v>
      </x:c>
      <x:c r="H6" s="25" t="str">
        <x:v>炼油化工链条真实，但形成日和多窗口相对强度弱于恒逸石化，且长期位置同样接近高位。</x:v>
      </x:c>
      <x:c r="I6" s="25" t="str"/>
      <x:c r="J6" s="12" t="str"/>
      <x:c r="K6" s="12" t="str"/>
      <x:c r="L6" s="25" t="str">
        <x:v>legacy_candidate_chain; no V4 research_thesis was recorded</x:v>
      </x:c>
    </x:row>
    <x:row r="7" ht="48" customHeight="1">
      <x:c r="A7" s="18" t="n">
        <x:v>46253</x:v>
      </x:c>
      <x:c r="B7" s="18" t="n">
        <x:v>46254</x:v>
      </x:c>
      <x:c r="C7" s="14" t="str">
        <x:v>301106.SZ</x:v>
      </x:c>
      <x:c r="D7" s="14" t="str">
        <x:v>骏成科技</x:v>
      </x:c>
      <x:c r="E7" s="14" t="str">
        <x:v>rejected</x:v>
      </x:c>
      <x:c r="F7" s="26"/>
      <x:c r="G7" s="26" t="str">
        <x:v>["company","price"]</x:v>
      </x:c>
      <x:c r="H7" s="26" t="str">
        <x:v>重组事件和价格识别都强，但形成日20%涨停、5日涨46.94%，正常参与和剩余路径显著差。</x:v>
      </x:c>
      <x:c r="I7" s="26" t="str"/>
      <x:c r="J7" s="14" t="str"/>
      <x:c r="K7" s="14" t="str"/>
      <x:c r="L7" s="26" t="str">
        <x:v>legacy_candidate_chain; no V4 research_thesis was recorded</x:v>
      </x:c>
    </x:row>
    <x:row r="8" ht="48" customHeight="1">
      <x:c r="A8" s="17" t="n">
        <x:v>46253</x:v>
      </x:c>
      <x:c r="B8" s="17" t="n">
        <x:v>46254</x:v>
      </x:c>
      <x:c r="C8" s="12" t="str">
        <x:v>300900.SZ</x:v>
      </x:c>
      <x:c r="D8" s="12" t="str">
        <x:v>广联航空</x:v>
      </x:c>
      <x:c r="E8" s="12" t="str">
        <x:v>rejected</x:v>
      </x:c>
      <x:c r="F8" s="25"/>
      <x:c r="G8" s="25" t="str">
        <x:v>["company","price"]</x:v>
      </x:c>
      <x:c r="H8" s="25" t="str">
        <x:v>重大合同与主业联系真实，但本地标题不能核实金额材料性，形成日下跌11.51%且收盘路径弱。</x:v>
      </x:c>
      <x:c r="I8" s="25" t="str"/>
      <x:c r="J8" s="12" t="str"/>
      <x:c r="K8" s="12" t="str"/>
      <x:c r="L8" s="25" t="str">
        <x:v>legacy_candidate_chain; no V4 research_thesis was recorded</x:v>
      </x:c>
    </x:row>
    <x:row r="9" ht="48" customHeight="1">
      <x:c r="A9" s="18" t="n">
        <x:v>46253</x:v>
      </x:c>
      <x:c r="B9" s="18" t="n">
        <x:v>46254</x:v>
      </x:c>
      <x:c r="C9" s="14" t="str">
        <x:v>601011.SH</x:v>
      </x:c>
      <x:c r="D9" s="14" t="str">
        <x:v>宝泰隆</x:v>
      </x:c>
      <x:c r="E9" s="14" t="str">
        <x:v>rejected</x:v>
      </x:c>
      <x:c r="F9" s="26"/>
      <x:c r="G9" s="26" t="str">
        <x:v>["sector","price"]</x:v>
      </x:c>
      <x:c r="H9" s="26" t="str">
        <x:v>焦炭趋势与量价强，但形成日封涨停，行动日参与性弱于安泰集团。</x:v>
      </x:c>
      <x:c r="I9" s="26" t="str"/>
      <x:c r="J9" s="14" t="str"/>
      <x:c r="K9" s="14" t="str"/>
      <x:c r="L9" s="26" t="str">
        <x:v>legacy_candidate_chain; no V4 research_thesis was recorded</x:v>
      </x:c>
    </x:row>
    <x:row r="10" ht="48" customHeight="1">
      <x:c r="A10" s="17" t="n">
        <x:v>46253</x:v>
      </x:c>
      <x:c r="B10" s="17" t="n">
        <x:v>46254</x:v>
      </x:c>
      <x:c r="C10" s="12" t="str">
        <x:v>601015.SH</x:v>
      </x:c>
      <x:c r="D10" s="12" t="str">
        <x:v>陕西黑猫</x:v>
      </x:c>
      <x:c r="E10" s="12" t="str">
        <x:v>rejected</x:v>
      </x:c>
      <x:c r="F10" s="25"/>
      <x:c r="G10" s="25" t="str">
        <x:v>["sector","price"]</x:v>
      </x:c>
      <x:c r="H10" s="25" t="str">
        <x:v>焦炭扩散中封涨停且最新已知盈利质量弱，未优于非封板的安泰集团。</x:v>
      </x:c>
      <x:c r="I10" s="25" t="str"/>
      <x:c r="J10" s="12" t="str"/>
      <x:c r="K10" s="12" t="str"/>
      <x:c r="L10" s="25" t="str">
        <x:v>legacy_candidate_chain; no V4 research_thesis was recorded</x:v>
      </x:c>
    </x:row>
    <x:row r="11" ht="48" customHeight="1">
      <x:c r="A11" s="18" t="n">
        <x:v>46253</x:v>
      </x:c>
      <x:c r="B11" s="18" t="n">
        <x:v>46254</x:v>
      </x:c>
      <x:c r="C11" s="14" t="str">
        <x:v>000723.SZ</x:v>
      </x:c>
      <x:c r="D11" s="14" t="str">
        <x:v>美锦能源</x:v>
      </x:c>
      <x:c r="E11" s="14" t="str">
        <x:v>rejected</x:v>
      </x:c>
      <x:c r="F11" s="26"/>
      <x:c r="G11" s="26" t="str">
        <x:v>["sector","price"]</x:v>
      </x:c>
      <x:c r="H11" s="26" t="str">
        <x:v>形成日封涨停，5日涨幅主要由涨停贡献，剩余路径与参与性不如安泰集团。</x:v>
      </x:c>
      <x:c r="I11" s="26" t="str"/>
      <x:c r="J11" s="14" t="str"/>
      <x:c r="K11" s="14" t="str"/>
      <x:c r="L11" s="26" t="str">
        <x:v>legacy_candidate_chain; no V4 research_thesis was recorded</x:v>
      </x:c>
    </x:row>
    <x:row r="12" ht="48" customHeight="1">
      <x:c r="A12" s="17" t="n">
        <x:v>46253</x:v>
      </x:c>
      <x:c r="B12" s="17" t="n">
        <x:v>46254</x:v>
      </x:c>
      <x:c r="C12" s="12" t="str">
        <x:v>002543.SZ</x:v>
      </x:c>
      <x:c r="D12" s="12" t="str">
        <x:v>万和电气</x:v>
      </x:c>
      <x:c r="E12" s="12" t="str">
        <x:v>rejected</x:v>
      </x:c>
      <x:c r="F12" s="25"/>
      <x:c r="G12" s="25" t="str">
        <x:v>["sector","price"]</x:v>
      </x:c>
      <x:c r="H12" s="25" t="str">
        <x:v>厨卫扩散成立，但形成日封涨停且命中单日脉冲/透支假设；老板电器的路径更平衡。</x:v>
      </x:c>
      <x:c r="I12" s="25" t="str"/>
      <x:c r="J12" s="12" t="str"/>
      <x:c r="K12" s="12" t="str"/>
      <x:c r="L12" s="25" t="str">
        <x:v>legacy_candidate_chain; no V4 research_thesis was recorded</x:v>
      </x:c>
    </x:row>
    <x:row r="13" ht="48" customHeight="1">
      <x:c r="A13" s="18" t="n">
        <x:v>46253</x:v>
      </x:c>
      <x:c r="B13" s="18" t="n">
        <x:v>46254</x:v>
      </x:c>
      <x:c r="C13" s="14" t="str">
        <x:v>300911.SZ</x:v>
      </x:c>
      <x:c r="D13" s="14" t="str">
        <x:v>亿田智能</x:v>
      </x:c>
      <x:c r="E13" s="14" t="str">
        <x:v>rejected</x:v>
      </x:c>
      <x:c r="F13" s="26"/>
      <x:c r="G13" s="26" t="str">
        <x:v>["sector","price"]</x:v>
      </x:c>
      <x:c r="H13" s="26" t="str">
        <x:v>形成日20%涨停、20日涨40.91%，行动日正常参与和回撤风险明显差。</x:v>
      </x:c>
      <x:c r="I13" s="26" t="str"/>
      <x:c r="J13" s="14" t="str"/>
      <x:c r="K13" s="14" t="str"/>
      <x:c r="L13" s="26" t="str">
        <x:v>legacy_candidate_chain; no V4 research_thesis was recorded</x:v>
      </x:c>
    </x:row>
    <x:row r="14" ht="48" customHeight="1">
      <x:c r="A14" s="17" t="n">
        <x:v>46253</x:v>
      </x:c>
      <x:c r="B14" s="17" t="n">
        <x:v>46254</x:v>
      </x:c>
      <x:c r="C14" s="12" t="str">
        <x:v>000505.SZ</x:v>
      </x:c>
      <x:c r="D14" s="12" t="str">
        <x:v>京粮控股</x:v>
      </x:c>
      <x:c r="E14" s="12" t="str">
        <x:v>rejected</x:v>
      </x:c>
      <x:c r="F14" s="25"/>
      <x:c r="G14" s="25" t="str">
        <x:v>["sector","price"]</x:v>
      </x:c>
      <x:c r="H14" s="25" t="str">
        <x:v>粮油加工板块上涨集中在少数封板股，个股5日涨30.37%、20日涨41.75%，路径已高度延伸。</x:v>
      </x:c>
      <x:c r="I14" s="25" t="str"/>
      <x:c r="J14" s="12" t="str"/>
      <x:c r="K14" s="12" t="str"/>
      <x:c r="L14" s="25" t="str">
        <x:v>legacy_candidate_chain; no V4 research_thesis was recorded</x:v>
      </x:c>
    </x:row>
    <x:row r="15" ht="48" customHeight="1">
      <x:c r="A15" s="18" t="n">
        <x:v>46253</x:v>
      </x:c>
      <x:c r="B15" s="18" t="n">
        <x:v>46254</x:v>
      </x:c>
      <x:c r="C15" s="14" t="str">
        <x:v>600127.SH</x:v>
      </x:c>
      <x:c r="D15" s="14" t="str">
        <x:v>金健米业</x:v>
      </x:c>
      <x:c r="E15" s="14" t="str">
        <x:v>rejected</x:v>
      </x:c>
      <x:c r="F15" s="26"/>
      <x:c r="G15" s="26" t="str">
        <x:v>["sector","price"]</x:v>
      </x:c>
      <x:c r="H15" s="26" t="str">
        <x:v>形成日封涨停且5日、20日延伸高，板块集中度使共同扩散解释不足。</x:v>
      </x:c>
      <x:c r="I15" s="26" t="str"/>
      <x:c r="J15" s="14" t="str"/>
      <x:c r="K15" s="14" t="str"/>
      <x:c r="L15" s="26" t="str">
        <x:v>legacy_candidate_chain; no V4 research_thesis was recorded</x:v>
      </x:c>
    </x:row>
    <x:row r="16" ht="48" customHeight="1">
      <x:c r="A16" s="17" t="n">
        <x:v>46253</x:v>
      </x:c>
      <x:c r="B16" s="17" t="n">
        <x:v>46254</x:v>
      </x:c>
      <x:c r="C16" s="12" t="str">
        <x:v>601009.SH</x:v>
      </x:c>
      <x:c r="D16" s="12" t="str">
        <x:v>南京银行</x:v>
      </x:c>
      <x:c r="E16" s="12" t="str">
        <x:v>rejected</x:v>
      </x:c>
      <x:c r="F16" s="25"/>
      <x:c r="G16" s="25" t="str">
        <x:v>["sector"]</x:v>
      </x:c>
      <x:c r="H16" s="25" t="str">
        <x:v>银行广度真实但更像市场大跌中的防御，缺少足以支持约20日上行路径的公司或独立价格增量。</x:v>
      </x:c>
      <x:c r="I16" s="25" t="str"/>
      <x:c r="J16" s="12" t="str"/>
      <x:c r="K16" s="12" t="str"/>
      <x:c r="L16" s="25" t="str">
        <x:v>legacy_candidate_chain; no V4 research_thesis was recorded</x:v>
      </x:c>
    </x:row>
    <x:row r="17" ht="48" customHeight="1">
      <x:c r="A17" s="18" t="n">
        <x:v>46253</x:v>
      </x:c>
      <x:c r="B17" s="18" t="n">
        <x:v>46254</x:v>
      </x:c>
      <x:c r="C17" s="14" t="str">
        <x:v>300035.SZ</x:v>
      </x:c>
      <x:c r="D17" s="14" t="str">
        <x:v>中科电气</x:v>
      </x:c>
      <x:c r="E17" s="14" t="str">
        <x:v>rejected</x:v>
      </x:c>
      <x:c r="F17" s="26"/>
      <x:c r="G17" s="26" t="str">
        <x:v>["price"]</x:v>
      </x:c>
      <x:c r="H17" s="26" t="str">
        <x:v>独立相对强与放量存在，但公司和板块解释不足，且量价、连续性弱于金田股份。</x:v>
      </x:c>
      <x:c r="I17" s="26" t="str"/>
      <x:c r="J17" s="14" t="str"/>
      <x:c r="K17" s="14" t="str"/>
      <x:c r="L17" s="26" t="str">
        <x:v>legacy_candidate_chain; no V4 research_thesis was recorded</x:v>
      </x:c>
    </x:row>
    <x:row r="18" ht="48" customHeight="1">
      <x:c r="A18" s="17" t="n">
        <x:v>46253</x:v>
      </x:c>
      <x:c r="B18" s="17" t="n">
        <x:v>46254</x:v>
      </x:c>
      <x:c r="C18" s="12" t="str">
        <x:v>301085.SZ</x:v>
      </x:c>
      <x:c r="D18" s="12" t="str">
        <x:v>亚康股份</x:v>
      </x:c>
      <x:c r="E18" s="12" t="str">
        <x:v>rejected</x:v>
      </x:c>
      <x:c r="F18" s="25"/>
      <x:c r="G18" s="25" t="str">
        <x:v>["company","price"]</x:v>
      </x:c>
      <x:c r="H18" s="25" t="str">
        <x:v>合同事件形成日前可见，但形成日仅小幅相对增强，尚未形成足够的市场识别。</x:v>
      </x:c>
      <x:c r="I18" s="25" t="str"/>
      <x:c r="J18" s="12" t="str"/>
      <x:c r="K18" s="12" t="str"/>
      <x:c r="L18" s="25" t="str">
        <x:v>legacy_candidate_chain; no V4 research_thesis was recorded</x:v>
      </x:c>
    </x:row>
    <x:row r="19" ht="48" customHeight="1">
      <x:c r="A19" s="18" t="n">
        <x:v>46253</x:v>
      </x:c>
      <x:c r="B19" s="18" t="n">
        <x:v>46254</x:v>
      </x:c>
      <x:c r="C19" s="14" t="str">
        <x:v>301235.SZ</x:v>
      </x:c>
      <x:c r="D19" s="14" t="str">
        <x:v>华康洁净</x:v>
      </x:c>
      <x:c r="E19" s="14" t="str">
        <x:v>unresolved</x:v>
      </x:c>
      <x:c r="F19" s="26"/>
      <x:c r="G19" s="26" t="str">
        <x:v>["company"]</x:v>
      </x:c>
      <x:c r="H19" s="26" t="str">
        <x:v>形成日晚间出现中标提示，但本地只有标题且形成日下跌9.86%，材料性与行动日识别都未知。</x:v>
      </x:c>
      <x:c r="I19" s="26" t="str"/>
      <x:c r="J19" s="14" t="str"/>
      <x:c r="K19" s="14" t="str"/>
      <x:c r="L19" s="26" t="str">
        <x:v>legacy_candidate_chain; no V4 research_thesis was recorded</x:v>
      </x:c>
    </x:row>
    <x:row r="20" ht="48" customHeight="1">
      <x:c r="A20" s="17" t="n">
        <x:v>46253</x:v>
      </x:c>
      <x:c r="B20" s="17" t="n">
        <x:v>46254</x:v>
      </x:c>
      <x:c r="C20" s="12" t="str">
        <x:v>300757.SZ</x:v>
      </x:c>
      <x:c r="D20" s="12" t="str">
        <x:v>罗博特科</x:v>
      </x:c>
      <x:c r="E20" s="12" t="str">
        <x:v>unresolved</x:v>
      </x:c>
      <x:c r="F20" s="25"/>
      <x:c r="G20" s="25" t="str">
        <x:v>["company"]</x:v>
      </x:c>
      <x:c r="H20" s="25" t="str">
        <x:v>形成日晚间出现重大合同，但本地只有标题且形成日下跌11.62%，材料性与行动日识别都未知。</x:v>
      </x:c>
      <x:c r="I20" s="25" t="str"/>
      <x:c r="J20" s="12" t="str"/>
      <x:c r="K20" s="12" t="str"/>
      <x:c r="L20" s="25" t="str">
        <x:v>legacy_candidate_chain; no V4 research_thesis was recorded</x:v>
      </x:c>
    </x:row>
    <x:row r="21" ht="48" customHeight="1">
      <x:c r="A21" s="18" t="n">
        <x:v>46254</x:v>
      </x:c>
      <x:c r="B21" s="18" t="n">
        <x:v>46255</x:v>
      </x:c>
      <x:c r="C21" s="14" t="str">
        <x:v>600601.SH</x:v>
      </x:c>
      <x:c r="D21" s="14" t="str">
        <x:v>方正科技</x:v>
      </x:c>
      <x:c r="E21" s="14" t="str">
        <x:v>selected</x:v>
      </x:c>
      <x:c r="F21" s="26" t="str">
        <x:v>company_catalyst</x:v>
      </x:c>
      <x:c r="G21" s="26" t="str">
        <x:v>["researching-company-events"]</x:v>
      </x:c>
      <x:c r="H21" s="26" t="str">
        <x:v>2026年半年报显示PCB业务的收入、归母净利润和经营现金流同向明显改善；价格对形成日披露的反应温和，且中期位置未达60日极端高位。</x:v>
      </x:c>
      <x:c r="I21" s="26" t="str"/>
      <x:c r="J21" s="14" t="str"/>
      <x:c r="K21" s="14" t="str"/>
      <x:c r="L21" s="26"/>
    </x:row>
    <x:row r="22" ht="48" customHeight="1">
      <x:c r="A22" s="17" t="n">
        <x:v>46254</x:v>
      </x:c>
      <x:c r="B22" s="17" t="n">
        <x:v>46255</x:v>
      </x:c>
      <x:c r="C22" s="12" t="str">
        <x:v>603993.SH</x:v>
      </x:c>
      <x:c r="D22" s="12" t="str">
        <x:v>洛阳钼业</x:v>
      </x:c>
      <x:c r="E22" s="12" t="str">
        <x:v>selected</x:v>
      </x:c>
      <x:c r="F22" s="25" t="str">
        <x:v>company_catalyst</x:v>
      </x:c>
      <x:c r="G22" s="25" t="str">
        <x:v>["researching-company-events"]</x:v>
      </x:c>
      <x:c r="H22" s="25" t="str">
        <x:v>2026年半年报的收入、归母净利润和经营现金流均有大额增长，价格仍处于20日回撤和60日中低位，估值与同类报表候选相比更有约束。</x:v>
      </x:c>
      <x:c r="I22" s="25" t="str"/>
      <x:c r="J22" s="12" t="str"/>
      <x:c r="K22" s="12" t="str"/>
      <x:c r="L22" s="25"/>
    </x:row>
    <x:row r="23" ht="48" customHeight="1">
      <x:c r="A23" s="18" t="n">
        <x:v>46254</x:v>
      </x:c>
      <x:c r="B23" s="18" t="n">
        <x:v>46255</x:v>
      </x:c>
      <x:c r="C23" s="14" t="str">
        <x:v>603969.SH</x:v>
      </x:c>
      <x:c r="D23" s="14" t="str">
        <x:v>银龙股份</x:v>
      </x:c>
      <x:c r="E23" s="14" t="str">
        <x:v>selected</x:v>
      </x:c>
      <x:c r="F23" s="26" t="str">
        <x:v>independent_price_anomaly</x:v>
      </x:c>
      <x:c r="G23" s="26" t="str">
        <x:v>["analyzing-price-trading"]</x:v>
      </x:c>
      <x:c r="H23" s="26" t="str">
        <x:v>在20日和60日仍为负收益的低位出现5日相对行业正贡献，同时2026年半年报的归母净利润增长40.35%、经营现金流明显改善，形成低位初始激活命题。</x:v>
      </x:c>
      <x:c r="I23" s="26" t="str"/>
      <x:c r="J23" s="14" t="str"/>
      <x:c r="K23" s="14" t="str"/>
      <x:c r="L23" s="26"/>
    </x:row>
    <x:row r="24" ht="48" customHeight="1">
      <x:c r="A24" s="17" t="n">
        <x:v>46254</x:v>
      </x:c>
      <x:c r="B24" s="17" t="n">
        <x:v>46255</x:v>
      </x:c>
      <x:c r="C24" s="12" t="str">
        <x:v>600737.SH</x:v>
      </x:c>
      <x:c r="D24" s="12" t="str">
        <x:v>中粮糖业</x:v>
      </x:c>
      <x:c r="E24" s="12" t="str">
        <x:v>selected</x:v>
      </x:c>
      <x:c r="F24" s="25" t="str">
        <x:v>sector_diffusion</x:v>
      </x:c>
      <x:c r="G24" s="25" t="str">
        <x:v>["researching-sectors-industries","analyzing-price-trading"]</x:v>
      </x:c>
      <x:c r="H24" s="25" t="str">
        <x:v>农产品加工在5日和20日均呈现多数成员上涨的扩散，中粮糖业的5日相对行业增量、连续性和非涨停日推进均强于近邻同类股。</x:v>
      </x:c>
      <x:c r="I24" s="25" t="str"/>
      <x:c r="J24" s="12" t="str"/>
      <x:c r="K24" s="12" t="str"/>
      <x:c r="L24" s="25"/>
    </x:row>
    <x:row r="25" ht="48" customHeight="1">
      <x:c r="A25" s="18" t="n">
        <x:v>46254</x:v>
      </x:c>
      <x:c r="B25" s="18" t="n">
        <x:v>46255</x:v>
      </x:c>
      <x:c r="C25" s="14" t="str">
        <x:v>600111.SH</x:v>
      </x:c>
      <x:c r="D25" s="14" t="str">
        <x:v>北方稀土</x:v>
      </x:c>
      <x:c r="E25" s="14" t="str">
        <x:v>rejected</x:v>
      </x:c>
      <x:c r="F25" s="26" t="str">
        <x:v>company_catalyst</x:v>
      </x:c>
      <x:c r="G25" s="26" t="str">
        <x:v>["researching-company-events"]</x:v>
      </x:c>
      <x:c r="H25" s="26" t="str">
        <x:v>半年报增长强且现金流为正，但形成日价格下跌、短中期相对收益为负，小金属行业5日宽度也弱，作为洛阳钼业的最近报表候选但不入选。</x:v>
      </x:c>
      <x:c r="I25" s="26" t="str"/>
      <x:c r="J25" s="14" t="str"/>
      <x:c r="K25" s="14" t="str"/>
      <x:c r="L25" s="26"/>
    </x:row>
    <x:row r="26" ht="48" customHeight="1">
      <x:c r="A26" s="17" t="n">
        <x:v>46254</x:v>
      </x:c>
      <x:c r="B26" s="17" t="n">
        <x:v>46255</x:v>
      </x:c>
      <x:c r="C26" s="12" t="str">
        <x:v>300936.SZ</x:v>
      </x:c>
      <x:c r="D26" s="12" t="str">
        <x:v>中英科技</x:v>
      </x:c>
      <x:c r="E26" s="12" t="str">
        <x:v>rejected</x:v>
      </x:c>
      <x:c r="F26" s="25" t="str">
        <x:v>company_catalyst</x:v>
      </x:c>
      <x:c r="G26" s="25" t="str">
        <x:v>["researching-company-events"]</x:v>
      </x:c>
      <x:c r="H26" s="25" t="str">
        <x:v>拟以5.5998亿元现金收购英中电气51%股权具有明显规模和业务传导，但形成日在19:34披露前已上涩10.02%，20日涨幅37.83%，叠加关联交易、审批、商誉和加杠杆风险后不选。</x:v>
      </x:c>
      <x:c r="I26" s="25" t="str"/>
      <x:c r="J26" s="12" t="str"/>
      <x:c r="K26" s="12" t="str"/>
      <x:c r="L26" s="25"/>
    </x:row>
    <x:row r="27" ht="48" customHeight="1">
      <x:c r="A27" s="18" t="n">
        <x:v>46254</x:v>
      </x:c>
      <x:c r="B27" s="18" t="n">
        <x:v>46255</x:v>
      </x:c>
      <x:c r="C27" s="14" t="str">
        <x:v>002852.SZ</x:v>
      </x:c>
      <x:c r="D27" s="14" t="str">
        <x:v>道道全</x:v>
      </x:c>
      <x:c r="E27" s="14" t="str">
        <x:v>rejected</x:v>
      </x:c>
      <x:c r="F27" s="26" t="str">
        <x:v>sector_diffusion</x:v>
      </x:c>
      <x:c r="G27" s="26" t="str">
        <x:v>["researching-sectors-industries","analyzing-price-trading"]</x:v>
      </x:c>
      <x:c r="H27" s="26" t="str">
        <x:v>同样受益于农产品加工扩散且价格推进平滑，但5日相对行业增量弱于中粮糖业，半年归母净利润同比下降90.68%且经营现金流转负，不达到入选股的绝对机会质量。</x:v>
      </x:c>
      <x:c r="I27" s="26" t="str"/>
      <x:c r="J27" s="14" t="str"/>
      <x:c r="K27" s="14" t="str"/>
      <x:c r="L27" s="26"/>
    </x:row>
    <x:row r="28" ht="48" customHeight="1">
      <x:c r="A28" s="17" t="n">
        <x:v>46254</x:v>
      </x:c>
      <x:c r="B28" s="17" t="n">
        <x:v>46255</x:v>
      </x:c>
      <x:c r="C28" s="12" t="str">
        <x:v>300153.SZ</x:v>
      </x:c>
      <x:c r="D28" s="12" t="str">
        <x:v>科泰电源</x:v>
      </x:c>
      <x:c r="E28" s="12" t="str">
        <x:v>rejected</x:v>
      </x:c>
      <x:c r="F28" s="25" t="str">
        <x:v>company_catalyst</x:v>
      </x:c>
      <x:c r="G28" s="25" t="str">
        <x:v>["researching-company-events"]</x:v>
      </x:c>
      <x:c r="H28" s="25" t="str">
        <x:v>半年报收入、利润和经营现金流都改善，但形成日跌3.20%、5日跌4.74%且估值偏高，价格未对命题提供必要识别。</x:v>
      </x:c>
      <x:c r="I28" s="25" t="str"/>
      <x:c r="J28" s="12" t="str"/>
      <x:c r="K28" s="12" t="str"/>
      <x:c r="L28" s="25"/>
    </x:row>
    <x:row r="29" ht="48" customHeight="1">
      <x:c r="A29" s="18" t="n">
        <x:v>46254</x:v>
      </x:c>
      <x:c r="B29" s="18" t="n">
        <x:v>46255</x:v>
      </x:c>
      <x:c r="C29" s="14" t="str">
        <x:v>601700.SH</x:v>
      </x:c>
      <x:c r="D29" s="14" t="str">
        <x:v>风范股份</x:v>
      </x:c>
      <x:c r="E29" s="14" t="str">
        <x:v>rejected</x:v>
      </x:c>
      <x:c r="F29" s="26" t="str">
        <x:v>company_catalyst</x:v>
      </x:c>
      <x:c r="G29" s="26" t="str">
        <x:v>["researching-company-events"]</x:v>
      </x:c>
      <x:c r="H29" s="26" t="str">
        <x:v>南网项目中标约1.2854亿元、占2025年营收4.31%，但尚未签正式合同，形成日已涨停且20日涨幅51.52%，行动日可参与性和剩余路径不足。</x:v>
      </x:c>
      <x:c r="I29" s="26" t="str"/>
      <x:c r="J29" s="14" t="str"/>
      <x:c r="K29" s="14" t="str"/>
      <x:c r="L29" s="26"/>
    </x:row>
    <x:row r="30" ht="48" customHeight="1">
      <x:c r="A30" s="17" t="n">
        <x:v>46254</x:v>
      </x:c>
      <x:c r="B30" s="17" t="n">
        <x:v>46255</x:v>
      </x:c>
      <x:c r="C30" s="12" t="str">
        <x:v>601096.SH</x:v>
      </x:c>
      <x:c r="D30" s="12" t="str">
        <x:v>宏盛华源</x:v>
      </x:c>
      <x:c r="E30" s="12" t="str">
        <x:v>rejected</x:v>
      </x:c>
      <x:c r="F30" s="25" t="str">
        <x:v>company_catalyst</x:v>
      </x:c>
      <x:c r="G30" s="25" t="str">
        <x:v>["researching-company-events"]</x:v>
      </x:c>
      <x:c r="H30" s="25" t="str">
        <x:v>南网项目中标约8.94亿元、占2025年营收9.33%，材料性高于风范股份，但尚未签正式合同且价格5日、20日均为负，关键市场识别不足。</x:v>
      </x:c>
      <x:c r="I30" s="25" t="str"/>
      <x:c r="J30" s="12" t="str"/>
      <x:c r="K30" s="12" t="str"/>
      <x:c r="L30" s="25"/>
    </x:row>
    <x:row r="31" ht="48" customHeight="1">
      <x:c r="A31" s="18" t="n">
        <x:v>46254</x:v>
      </x:c>
      <x:c r="B31" s="18" t="n">
        <x:v>46255</x:v>
      </x:c>
      <x:c r="C31" s="14" t="str">
        <x:v>300865.SZ</x:v>
      </x:c>
      <x:c r="D31" s="14" t="str">
        <x:v>大宏立</x:v>
      </x:c>
      <x:c r="E31" s="14" t="str">
        <x:v>rejected</x:v>
      </x:c>
      <x:c r="F31" s="26" t="str">
        <x:v>independent_price_anomaly</x:v>
      </x:c>
      <x:c r="G31" s="26" t="str">
        <x:v>["analyzing-price-trading"]</x:v>
      </x:c>
      <x:c r="H31" s="26" t="str">
        <x:v>5日和20日相对强势突出且推进连续，但已处60日高位、20日涨42.54%且静态估值极高，没有找到足以支撑剩余上行的公司增量。</x:v>
      </x:c>
      <x:c r="I31" s="26" t="str"/>
      <x:c r="J31" s="14" t="str"/>
      <x:c r="K31" s="14" t="str"/>
      <x:c r="L31" s="26"/>
    </x:row>
    <x:row r="32" ht="48" customHeight="1">
      <x:c r="A32" s="17" t="n">
        <x:v>46254</x:v>
      </x:c>
      <x:c r="B32" s="17" t="n">
        <x:v>46255</x:v>
      </x:c>
      <x:c r="C32" s="12" t="str">
        <x:v>600547.SH</x:v>
      </x:c>
      <x:c r="D32" s="12" t="str">
        <x:v>山东黄金</x:v>
      </x:c>
      <x:c r="E32" s="12" t="str">
        <x:v>rejected</x:v>
      </x:c>
      <x:c r="F32" s="25" t="str">
        <x:v>independent_price_anomaly</x:v>
      </x:c>
      <x:c r="G32" s="25" t="str">
        <x:v>["analyzing-price-trading"]</x:v>
      </x:c>
      <x:c r="H32" s="25" t="str">
        <x:v>5日价格推进连续且不依赖涨停，但贵金属行业比较口径受限、20日已涨29.10%并处高位，缺少独立公司增量。</x:v>
      </x:c>
      <x:c r="I32" s="25" t="str"/>
      <x:c r="J32" s="12" t="str"/>
      <x:c r="K32" s="12" t="str"/>
      <x:c r="L32" s="25"/>
    </x:row>
    <x:row r="33" ht="48" customHeight="1">
      <x:c r="A33" s="18" t="n">
        <x:v>46254</x:v>
      </x:c>
      <x:c r="B33" s="18" t="n">
        <x:v>46255</x:v>
      </x:c>
      <x:c r="C33" s="14" t="str">
        <x:v>000703.SZ</x:v>
      </x:c>
      <x:c r="D33" s="14" t="str">
        <x:v>恒逸石化</x:v>
      </x:c>
      <x:c r="E33" s="14" t="str">
        <x:v>rejected</x:v>
      </x:c>
      <x:c r="F33" s="26" t="str">
        <x:v>independent_price_anomaly</x:v>
      </x:c>
      <x:c r="G33" s="26" t="str">
        <x:v>["analyzing-price-trading"]</x:v>
      </x:c>
      <x:c r="H33" s="26" t="str">
        <x:v>5日相对行业和量价效率强，但20日、60日已分别上涩27.05%和53.56%，剩余路径弱于低位的银龙股份。</x:v>
      </x:c>
      <x:c r="I33" s="26" t="str"/>
      <x:c r="J33" s="14" t="str"/>
      <x:c r="K33" s="14" t="str"/>
      <x:c r="L33" s="26"/>
    </x:row>
    <x:row r="34" ht="48" customHeight="1">
      <x:c r="A34" s="17" t="n">
        <x:v>46254</x:v>
      </x:c>
      <x:c r="B34" s="17" t="n">
        <x:v>46255</x:v>
      </x:c>
      <x:c r="C34" s="12" t="str">
        <x:v>603565.SH</x:v>
      </x:c>
      <x:c r="D34" s="12" t="str">
        <x:v>中谷物流</x:v>
      </x:c>
      <x:c r="E34" s="12" t="str">
        <x:v>rejected</x:v>
      </x:c>
      <x:c r="F34" s="25" t="str">
        <x:v>independent_price_anomaly</x:v>
      </x:c>
      <x:c r="G34" s="25" t="str">
        <x:v>["analyzing-price-trading"]</x:v>
      </x:c>
      <x:c r="H34" s="25" t="str">
        <x:v>5日趋势和量价效率良好且估值不高，但航运港口行业比较受限，未找到新公司变化，证据不足以超过已入选候选。</x:v>
      </x:c>
      <x:c r="I34" s="25" t="str"/>
      <x:c r="J34" s="12" t="str"/>
      <x:c r="K34" s="12" t="str"/>
      <x:c r="L34" s="25"/>
    </x:row>
    <x:row r="35" ht="48" customHeight="1">
      <x:c r="A35" s="18" t="n">
        <x:v>46255</x:v>
      </x:c>
      <x:c r="B35" s="18" t="n">
        <x:v>46258</x:v>
      </x:c>
      <x:c r="C35" s="14" t="str">
        <x:v>600583.SH</x:v>
      </x:c>
      <x:c r="D35" s="14" t="str">
        <x:v>海油工程</x:v>
      </x:c>
      <x:c r="E35" s="14" t="str">
        <x:v>selected</x:v>
      </x:c>
      <x:c r="F35" s="26" t="str">
        <x:v>sector_diffusion</x:v>
      </x:c>
      <x:c r="G35" s="26" t="str">
        <x:v>["researching-sectors-industries","analyzing-price-trading","researching-company-events"]</x:v>
      </x:c>
      <x:c r="H35" s="26" t="str">
        <x:v>油服工程板块出现四只领导股票同步走强，海油工程是最强成员；个股5日上涨12.29%，同时跑赢市场和行业，半年报经营基本稳定。</x:v>
      </x:c>
      <x:c r="I35" s="26" t="str">
        <x:v>sector_leader_cluster</x:v>
      </x:c>
      <x:c r="J35" s="14" t="str">
        <x:v>active</x:v>
      </x:c>
      <x:c r="K35" s="14" t="str">
        <x:v>confirmed</x:v>
      </x:c>
      <x:c r="L35" s="26"/>
    </x:row>
    <x:row r="36" ht="48" customHeight="1">
      <x:c r="A36" s="17" t="n">
        <x:v>46255</x:v>
      </x:c>
      <x:c r="B36" s="17" t="n">
        <x:v>46258</x:v>
      </x:c>
      <x:c r="C36" s="12" t="str">
        <x:v>600980.SH</x:v>
      </x:c>
      <x:c r="D36" s="12" t="str">
        <x:v>北矿科技</x:v>
      </x:c>
      <x:c r="E36" s="12" t="str">
        <x:v>selected</x:v>
      </x:c>
      <x:c r="F36" s="25" t="str">
        <x:v>independent_price_anomaly</x:v>
      </x:c>
      <x:c r="G36" s="25" t="str">
        <x:v>["researching-company-events","analyzing-price-trading"]</x:v>
      </x:c>
      <x:c r="H36" s="25" t="str">
        <x:v>股价在弱市场中温和跑赢市场和行业，成交同步增加，半年报收入、利润和经营现金流改善，剩余路径比快速拉升股完整。</x:v>
      </x:c>
      <x:c r="I36" s="25" t="str">
        <x:v>independent_demand_acceleration</x:v>
      </x:c>
      <x:c r="J36" s="12" t="str">
        <x:v>active</x:v>
      </x:c>
      <x:c r="K36" s="12" t="str">
        <x:v>confirmed</x:v>
      </x:c>
      <x:c r="L36" s="25"/>
    </x:row>
    <x:row r="37" ht="48" customHeight="1">
      <x:c r="A37" s="18" t="n">
        <x:v>46255</x:v>
      </x:c>
      <x:c r="B37" s="18" t="n">
        <x:v>46258</x:v>
      </x:c>
      <x:c r="C37" s="14" t="str">
        <x:v>001301.SZ</x:v>
      </x:c>
      <x:c r="D37" s="14" t="str">
        <x:v>尚太科技</x:v>
      </x:c>
      <x:c r="E37" s="14" t="str">
        <x:v>rejected</x:v>
      </x:c>
      <x:c r="F37" s="26" t="str">
        <x:v>company_catalyst</x:v>
      </x:c>
      <x:c r="G37" s="26" t="str">
        <x:v>["researching-company-events","analyzing-price-trading"]</x:v>
      </x:c>
      <x:c r="H37" s="26" t="str">
        <x:v>半年报后3个交易日价格确认很强，但归母利润下降、经营现金流大额流出且负债上升，继续追涨的公司风险明显高于北矿科技。</x:v>
      </x:c>
      <x:c r="I37" s="26" t="str">
        <x:v>event_repricing_confirmed</x:v>
      </x:c>
      <x:c r="J37" s="14" t="str">
        <x:v>active</x:v>
      </x:c>
      <x:c r="K37" s="14" t="str">
        <x:v>confirmed</x:v>
      </x:c>
      <x:c r="L37" s="26"/>
    </x:row>
    <x:row r="38" ht="48" customHeight="1">
      <x:c r="A38" s="17" t="n">
        <x:v>46255</x:v>
      </x:c>
      <x:c r="B38" s="17" t="n">
        <x:v>46258</x:v>
      </x:c>
      <x:c r="C38" s="12" t="str">
        <x:v>301419.SZ</x:v>
      </x:c>
      <x:c r="D38" s="12" t="str">
        <x:v>阿莱德</x:v>
      </x:c>
      <x:c r="E38" s="12" t="str">
        <x:v>rejected</x:v>
      </x:c>
      <x:c r="F38" s="25" t="str">
        <x:v>company_catalyst</x:v>
      </x:c>
      <x:c r="G38" s="25" t="str">
        <x:v>["researching-company-events","analyzing-price-trading"]</x:v>
      </x:c>
      <x:c r="H38" s="25" t="str">
        <x:v>拟收购光通信散热壳体公司与主营直接相关，但交易仍只是意向，价格此前20日已上涨45.39%，不适合在首日反应未知时追入。</x:v>
      </x:c>
      <x:c r="I38" s="25" t="str">
        <x:v>fresh_event_pending</x:v>
      </x:c>
      <x:c r="J38" s="12" t="str">
        <x:v>conditional</x:v>
      </x:c>
      <x:c r="K38" s="12" t="str">
        <x:v>pending</x:v>
      </x:c>
      <x:c r="L38" s="25"/>
    </x:row>
    <x:row r="39" ht="48" customHeight="1">
      <x:c r="A39" s="18" t="n">
        <x:v>46255</x:v>
      </x:c>
      <x:c r="B39" s="18" t="n">
        <x:v>46258</x:v>
      </x:c>
      <x:c r="C39" s="14" t="str">
        <x:v>605169.SH</x:v>
      </x:c>
      <x:c r="D39" s="14" t="str">
        <x:v>洪通燃气</x:v>
      </x:c>
      <x:c r="E39" s="14" t="str">
        <x:v>rejected</x:v>
      </x:c>
      <x:c r="F39" s="26" t="str">
        <x:v>sector_diffusion</x:v>
      </x:c>
      <x:c r="G39" s="26" t="str">
        <x:v>["researching-sectors-industries","analyzing-price-trading"]</x:v>
      </x:c>
      <x:c r="H39" s="26" t="str">
        <x:v>燃气板块领导股票组合成立，价格确认也不错，但一季度收入和利润大幅下降，板块强度和公司经营均弱于海油工程。</x:v>
      </x:c>
      <x:c r="I39" s="26" t="str">
        <x:v>sector_leader_cluster</x:v>
      </x:c>
      <x:c r="J39" s="14" t="str">
        <x:v>active</x:v>
      </x:c>
      <x:c r="K39" s="14" t="str">
        <x:v>confirmed</x:v>
      </x:c>
      <x:c r="L39" s="26"/>
    </x:row>
    <x:row r="40" ht="48" customHeight="1">
      <x:c r="A40" s="17" t="n">
        <x:v>46258</x:v>
      </x:c>
      <x:c r="B40" s="17" t="n">
        <x:v>46259</x:v>
      </x:c>
      <x:c r="C40" s="12" t="str">
        <x:v>000690.SZ</x:v>
      </x:c>
      <x:c r="D40" s="12" t="str">
        <x:v>宝新能源</x:v>
      </x:c>
      <x:c r="E40" s="12" t="str">
        <x:v>selected</x:v>
      </x:c>
      <x:c r="F40" s="25" t="str">
        <x:v>independent_price_anomaly</x:v>
      </x:c>
      <x:c r="G40" s="25" t="str">
        <x:v>["analyzing-price-trading","researching-company-events"]</x:v>
      </x:c>
      <x:c r="H40" s="25" t="str">
        <x:v>在5日市场明显偏弱时，个股3日、5日均上涨并同时跑赢市场和电力行业，形成日成交明显放大但20日涨幅仍低，价格尚未明显透支。</x:v>
      </x:c>
      <x:c r="I40" s="25" t="str">
        <x:v>independent_demand_acceleration</x:v>
      </x:c>
      <x:c r="J40" s="12" t="str">
        <x:v>active</x:v>
      </x:c>
      <x:c r="K40" s="12" t="str">
        <x:v>confirmed</x:v>
      </x:c>
      <x:c r="L40" s="25"/>
    </x:row>
    <x:row r="41" ht="48" customHeight="1">
      <x:c r="A41" s="18" t="n">
        <x:v>46258</x:v>
      </x:c>
      <x:c r="B41" s="18" t="n">
        <x:v>46259</x:v>
      </x:c>
      <x:c r="C41" s="14" t="str">
        <x:v>601998.SH</x:v>
      </x:c>
      <x:c r="D41" s="14" t="str">
        <x:v>中信银行</x:v>
      </x:c>
      <x:c r="E41" s="14" t="str">
        <x:v>selected</x:v>
      </x:c>
      <x:c r="F41" s="26" t="str">
        <x:v>sector_diffusion</x:v>
      </x:c>
      <x:c r="G41" s="26" t="str">
        <x:v>["researching-sectors-industries","researching-company-events","analyzing-price-trading"]</x:v>
      </x:c>
      <x:c r="H41" s="26" t="str">
        <x:v>股份制银行9只成分股3日和5日全部上涨且成交份额增加，中信银行是组内5日最强成员，个股价格、成交和相对强度均已确认。</x:v>
      </x:c>
      <x:c r="I41" s="26" t="str">
        <x:v>sector_broad_diffusion</x:v>
      </x:c>
      <x:c r="J41" s="14" t="str">
        <x:v>active</x:v>
      </x:c>
      <x:c r="K41" s="14" t="str">
        <x:v>confirmed</x:v>
      </x:c>
      <x:c r="L41" s="26"/>
    </x:row>
    <x:row r="42" ht="48" customHeight="1">
      <x:c r="A42" s="17" t="n">
        <x:v>46258</x:v>
      </x:c>
      <x:c r="B42" s="17" t="n">
        <x:v>46259</x:v>
      </x:c>
      <x:c r="C42" s="12" t="str">
        <x:v>601077.SH</x:v>
      </x:c>
      <x:c r="D42" s="12" t="str">
        <x:v>渝农商行</x:v>
      </x:c>
      <x:c r="E42" s="12" t="str">
        <x:v>rejected</x:v>
      </x:c>
      <x:c r="F42" s="25" t="str">
        <x:v>sector_diffusion</x:v>
      </x:c>
      <x:c r="G42" s="25" t="str">
        <x:v>["researching-sectors-industries","researching-company-events","analyzing-price-trading"]</x:v>
      </x:c>
      <x:c r="H42" s="25" t="str">
        <x:v>农商行板块也形成广泛扩散，渝农商行是组内最强成员，但板块成交份额增加幅度明显小于股份制银行，形成日单日推动占比更高。</x:v>
      </x:c>
      <x:c r="I42" s="25" t="str">
        <x:v>sector_broad_diffusion</x:v>
      </x:c>
      <x:c r="J42" s="12" t="str">
        <x:v>active</x:v>
      </x:c>
      <x:c r="K42" s="12" t="str">
        <x:v>confirmed</x:v>
      </x:c>
      <x:c r="L42" s="25"/>
    </x:row>
    <x:row r="43" ht="48" customHeight="1">
      <x:c r="A43" s="18" t="n">
        <x:v>46258</x:v>
      </x:c>
      <x:c r="B43" s="18" t="n">
        <x:v>46259</x:v>
      </x:c>
      <x:c r="C43" s="14" t="str">
        <x:v>002014.SZ</x:v>
      </x:c>
      <x:c r="D43" s="14" t="str">
        <x:v>永新股份</x:v>
      </x:c>
      <x:c r="E43" s="14" t="str">
        <x:v>rejected</x:v>
      </x:c>
      <x:c r="F43" s="26" t="str">
        <x:v>independent_price_anomaly</x:v>
      </x:c>
      <x:c r="G43" s="26" t="str">
        <x:v>["analyzing-price-trading","researching-company-events"]</x:v>
      </x:c>
      <x:c r="H43" s="26" t="str">
        <x:v>同属早期价量增强，但5日涨幅、相对强度和成交放大均弱于宝新能源，且近5日上影线出现较多。</x:v>
      </x:c>
      <x:c r="I43" s="26" t="str">
        <x:v>independent_demand_acceleration</x:v>
      </x:c>
      <x:c r="J43" s="14" t="str">
        <x:v>active</x:v>
      </x:c>
      <x:c r="K43" s="14" t="str">
        <x:v>confirmed</x:v>
      </x:c>
      <x:c r="L43" s="26"/>
    </x:row>
    <x:row r="44" ht="48" customHeight="1">
      <x:c r="A44" s="17" t="n">
        <x:v>46258</x:v>
      </x:c>
      <x:c r="B44" s="17" t="n">
        <x:v>46259</x:v>
      </x:c>
      <x:c r="C44" s="12" t="str">
        <x:v>603291.SH</x:v>
      </x:c>
      <x:c r="D44" s="12" t="str">
        <x:v>联合水务</x:v>
      </x:c>
      <x:c r="E44" s="12" t="str">
        <x:v>unresolved</x:v>
      </x:c>
      <x:c r="F44" s="25" t="str">
        <x:v>company_catalyst</x:v>
      </x:c>
      <x:c r="G44" s="25" t="str">
        <x:v>["researching-company-events","analyzing-price-trading"]</x:v>
      </x:c>
      <x:c r="H44" s="25" t="str">
        <x:v>截止09:05已看到沙特污水处理长期运维合同中标公告，但本地只有公告元数据，缺少合同金额和相对公司收入规模，且事件后尚无完整交易日，不能形成正式推荐。</x:v>
      </x:c>
      <x:c r="I44" s="25" t="str">
        <x:v>unresolved</x:v>
      </x:c>
      <x:c r="J44" s="12" t="str">
        <x:v>unresolved</x:v>
      </x:c>
      <x:c r="K44" s="12" t="str">
        <x:v>pending</x:v>
      </x:c>
      <x:c r="L44" s="25"/>
    </x:row>
    <x:row r="45" ht="48" customHeight="1">
      <x:c r="A45" s="18" t="n">
        <x:v>46259</x:v>
      </x:c>
      <x:c r="B45" s="18" t="n">
        <x:v>46260</x:v>
      </x:c>
      <x:c r="C45" s="14" t="str">
        <x:v>002366.SZ</x:v>
      </x:c>
      <x:c r="D45" s="14" t="str">
        <x:v>融发核电</x:v>
      </x:c>
      <x:c r="E45" s="14" t="str">
        <x:v>selected</x:v>
      </x:c>
      <x:c r="F45" s="26" t="str">
        <x:v>company_catalyst</x:v>
      </x:c>
      <x:c r="G45" s="26" t="str">
        <x:v>["researching-company-events"]</x:v>
      </x:c>
      <x:c r="H45" s="26" t="str">
        <x:v>子公司取得2.0052亿元核电管道合同中标通知，属于主营业务直接相关的盘前实质新信息，但正式合同尚未签署，必须等待行动日首个可交易时段的价格和成交确认。</x:v>
      </x:c>
      <x:c r="I45" s="26" t="str">
        <x:v>fresh_event_pending</x:v>
      </x:c>
      <x:c r="J45" s="14" t="str">
        <x:v>conditional</x:v>
      </x:c>
      <x:c r="K45" s="14" t="str">
        <x:v>pending</x:v>
      </x:c>
      <x:c r="L45" s="26"/>
    </x:row>
    <x:row r="46" ht="48" customHeight="1">
      <x:c r="A46" s="17" t="n">
        <x:v>46259</x:v>
      </x:c>
      <x:c r="B46" s="17" t="n">
        <x:v>46260</x:v>
      </x:c>
      <x:c r="C46" s="12" t="str">
        <x:v>002274.SZ</x:v>
      </x:c>
      <x:c r="D46" s="12" t="str">
        <x:v>华昌化工</x:v>
      </x:c>
      <x:c r="E46" s="12" t="str">
        <x:v>selected</x:v>
      </x:c>
      <x:c r="F46" s="25" t="str">
        <x:v>independent_price_anomaly</x:v>
      </x:c>
      <x:c r="G46" s="25" t="str">
        <x:v>["analyzing-price-trading"]</x:v>
      </x:c>
      <x:c r="H46" s="25" t="str">
        <x:v>5日和20日独立强度、放量效率与突破状态同时成立，且半年报利润和现金流改善提供基本面锚；正式半年报本身只作确认，不作为新催化。</x:v>
      </x:c>
      <x:c r="I46" s="25" t="str">
        <x:v>independent_demand_acceleration</x:v>
      </x:c>
      <x:c r="J46" s="12" t="str">
        <x:v>active</x:v>
      </x:c>
      <x:c r="K46" s="12" t="str">
        <x:v>confirmed</x:v>
      </x:c>
      <x:c r="L46" s="25"/>
    </x:row>
    <x:row r="47" ht="48" customHeight="1">
      <x:c r="A47" s="18" t="n">
        <x:v>46259</x:v>
      </x:c>
      <x:c r="B47" s="18" t="n">
        <x:v>46260</x:v>
      </x:c>
      <x:c r="C47" s="14" t="str">
        <x:v>603408.SH</x:v>
      </x:c>
      <x:c r="D47" s="14" t="str">
        <x:v>建霖家居</x:v>
      </x:c>
      <x:c r="E47" s="14" t="str">
        <x:v>selected</x:v>
      </x:c>
      <x:c r="F47" s="26" t="str">
        <x:v>independent_price_anomaly</x:v>
      </x:c>
      <x:c r="G47" s="26" t="str">
        <x:v>["analyzing-price-trading"]</x:v>
      </x:c>
      <x:c r="H47" s="26" t="str">
        <x:v>5日放量效率、相对市场和行业强度以及有效突破同时成立，价格路径干净且不依赖涨停；利润和现金流下滑是主要反证。</x:v>
      </x:c>
      <x:c r="I47" s="26" t="str">
        <x:v>independent_demand_acceleration</x:v>
      </x:c>
      <x:c r="J47" s="14" t="str">
        <x:v>active</x:v>
      </x:c>
      <x:c r="K47" s="14" t="str">
        <x:v>confirmed</x:v>
      </x:c>
      <x:c r="L47" s="26"/>
    </x:row>
    <x:row r="48" ht="48" customHeight="1">
      <x:c r="A48" s="17" t="n">
        <x:v>46259</x:v>
      </x:c>
      <x:c r="B48" s="17" t="n">
        <x:v>46260</x:v>
      </x:c>
      <x:c r="C48" s="12" t="str">
        <x:v>300473.SZ</x:v>
      </x:c>
      <x:c r="D48" s="12" t="str">
        <x:v>德尔股份</x:v>
      </x:c>
      <x:c r="E48" s="12" t="str">
        <x:v>selected</x:v>
      </x:c>
      <x:c r="F48" s="25" t="str">
        <x:v>independent_price_anomaly</x:v>
      </x:c>
      <x:c r="G48" s="25" t="str">
        <x:v>["analyzing-price-trading"]</x:v>
      </x:c>
      <x:c r="H48" s="25" t="str">
        <x:v>3日和5日相对强度突出、成交放大且无涨停贡献，价格仍远离长期前高；一季度利润和现金流改善优于同类替代股。</x:v>
      </x:c>
      <x:c r="I48" s="25" t="str">
        <x:v>independent_demand_acceleration</x:v>
      </x:c>
      <x:c r="J48" s="12" t="str">
        <x:v>active</x:v>
      </x:c>
      <x:c r="K48" s="12" t="str">
        <x:v>confirmed</x:v>
      </x:c>
      <x:c r="L48" s="25"/>
    </x:row>
    <x:row r="49" ht="48" customHeight="1">
      <x:c r="A49" s="18" t="n">
        <x:v>46259</x:v>
      </x:c>
      <x:c r="B49" s="18" t="n">
        <x:v>46260</x:v>
      </x:c>
      <x:c r="C49" s="14" t="str">
        <x:v>300816.SZ</x:v>
      </x:c>
      <x:c r="D49" s="14" t="str">
        <x:v>艾可蓝</x:v>
      </x:c>
      <x:c r="E49" s="14" t="str">
        <x:v>rejected</x:v>
      </x:c>
      <x:c r="F49" s="26" t="str">
        <x:v>company_catalyst</x:v>
      </x:c>
      <x:c r="G49" s="26" t="str">
        <x:v>["researching-company-events"]</x:v>
      </x:c>
      <x:c r="H49" s="26" t="str">
        <x:v>盘前计算服务合同金额较大，但计算服务并非公司现有发动机尾气后处理核心业务，合同期限长、客户未披露且需求和履约不确定，不满足主营业务直接传导要求。</x:v>
      </x:c>
      <x:c r="I49" s="26" t="str">
        <x:v>unresolved</x:v>
      </x:c>
      <x:c r="J49" s="14" t="str">
        <x:v>unresolved</x:v>
      </x:c>
      <x:c r="K49" s="14" t="str">
        <x:v>pending</x:v>
      </x:c>
      <x:c r="L49" s="26"/>
    </x:row>
    <x:row r="50" ht="48" customHeight="1">
      <x:c r="A50" s="17" t="n">
        <x:v>46259</x:v>
      </x:c>
      <x:c r="B50" s="17" t="n">
        <x:v>46260</x:v>
      </x:c>
      <x:c r="C50" s="12" t="str">
        <x:v>300990.SZ</x:v>
      </x:c>
      <x:c r="D50" s="12" t="str">
        <x:v>同飞股份</x:v>
      </x:c>
      <x:c r="E50" s="12" t="str">
        <x:v>rejected</x:v>
      </x:c>
      <x:c r="F50" s="25" t="str">
        <x:v>independent_price_anomaly</x:v>
      </x:c>
      <x:c r="G50" s="25" t="str">
        <x:v>["analyzing-price-trading"]</x:v>
      </x:c>
      <x:c r="H50" s="25" t="str">
        <x:v>形成日单日上涨13.56%占5日涨幅的大部分，上影频率较高、距20%路径仅约2.76个ATR，比较后不如多日确认且余量更好的入选股。</x:v>
      </x:c>
      <x:c r="I50" s="25" t="str">
        <x:v>independent_demand_acceleration</x:v>
      </x:c>
      <x:c r="J50" s="12" t="str">
        <x:v>active</x:v>
      </x:c>
      <x:c r="K50" s="12" t="str">
        <x:v>confirmed</x:v>
      </x:c>
      <x:c r="L50" s="25"/>
    </x:row>
    <x:row r="51" ht="48" customHeight="1">
      <x:c r="A51" s="18" t="n">
        <x:v>46259</x:v>
      </x:c>
      <x:c r="B51" s="18" t="n">
        <x:v>46260</x:v>
      </x:c>
      <x:c r="C51" s="14" t="str">
        <x:v>002536.SZ</x:v>
      </x:c>
      <x:c r="D51" s="14" t="str">
        <x:v>飞龙股份</x:v>
      </x:c>
      <x:c r="E51" s="14" t="str">
        <x:v>rejected</x:v>
      </x:c>
      <x:c r="F51" s="26" t="str">
        <x:v>independent_price_anomaly</x:v>
      </x:c>
      <x:c r="G51" s="26" t="str">
        <x:v>["analyzing-price-trading"]</x:v>
      </x:c>
      <x:c r="H51" s="26" t="str">
        <x:v>5日相对强度较高，但涨停日贡献约46.1%、距20%路径仅约2.88个ATR，且半年利润同比下降，比较后不如德尔股份路径干净。</x:v>
      </x:c>
      <x:c r="I51" s="26" t="str">
        <x:v>independent_demand_acceleration</x:v>
      </x:c>
      <x:c r="J51" s="14" t="str">
        <x:v>active</x:v>
      </x:c>
      <x:c r="K51" s="14" t="str">
        <x:v>confirmed</x:v>
      </x:c>
      <x:c r="L51" s="26"/>
    </x:row>
    <x:row r="52" ht="48" customHeight="1">
      <x:c r="A52" s="17" t="n">
        <x:v>46259</x:v>
      </x:c>
      <x:c r="B52" s="17" t="n">
        <x:v>46260</x:v>
      </x:c>
      <x:c r="C52" s="12" t="str">
        <x:v>002638.SZ</x:v>
      </x:c>
      <x:c r="D52" s="12" t="str">
        <x:v>勤上股份</x:v>
      </x:c>
      <x:c r="E52" s="12" t="str">
        <x:v>rejected</x:v>
      </x:c>
      <x:c r="F52" s="25" t="str">
        <x:v>sector_diffusion</x:v>
      </x:c>
      <x:c r="G52" s="25" t="str">
        <x:v>["researching-sectors-industries"]</x:v>
      </x:c>
      <x:c r="H52" s="25" t="str">
        <x:v>照明设备行业扩散满足宽度条件，但个股20日涨幅27.11%、位置接近观察窗高位且5日涨停贡献约54.27%，公司一季度亏损，剩余路径质量不足。</x:v>
      </x:c>
      <x:c r="I52" s="25" t="str">
        <x:v>sector_broad_diffusion</x:v>
      </x:c>
      <x:c r="J52" s="12" t="str">
        <x:v>active</x:v>
      </x:c>
      <x:c r="K52" s="12" t="str">
        <x:v>confirmed</x:v>
      </x:c>
      <x:c r="L52" s="25"/>
    </x:row>
    <x:row r="53" ht="48" customHeight="1">
      <x:c r="A53" s="18" t="n">
        <x:v>46259</x:v>
      </x:c>
      <x:c r="B53" s="18" t="n">
        <x:v>46260</x:v>
      </x:c>
      <x:c r="C53" s="14" t="str">
        <x:v>000628.SZ</x:v>
      </x:c>
      <x:c r="D53" s="14" t="str">
        <x:v>高新发展</x:v>
      </x:c>
      <x:c r="E53" s="14" t="str">
        <x:v>rejected</x:v>
      </x:c>
      <x:c r="F53" s="26" t="str">
        <x:v>sector_diffusion</x:v>
      </x:c>
      <x:c r="G53" s="26" t="str">
        <x:v>["researching-sectors-industries"]</x:v>
      </x:c>
      <x:c r="H53" s="26" t="str">
        <x:v>房屋建设行业扩散满足宽度条件，但个股20日上涨29.91%、5日涨停贡献约51.04%，一季度收入和利润均下降，比较后不保留。</x:v>
      </x:c>
      <x:c r="I53" s="26" t="str">
        <x:v>sector_broad_diffusion</x:v>
      </x:c>
      <x:c r="J53" s="14" t="str">
        <x:v>active</x:v>
      </x:c>
      <x:c r="K53" s="14" t="str">
        <x:v>confirmed</x:v>
      </x:c>
      <x:c r="L53" s="26"/>
    </x:row>
    <x:row r="54" ht="48" customHeight="1">
      <x:c r="A54" s="17" t="n">
        <x:v>46259</x:v>
      </x:c>
      <x:c r="B54" s="17" t="n">
        <x:v>46260</x:v>
      </x:c>
      <x:c r="C54" s="12" t="str">
        <x:v>300265.SZ</x:v>
      </x:c>
      <x:c r="D54" s="12" t="str">
        <x:v>通光线缆</x:v>
      </x:c>
      <x:c r="E54" s="12" t="str">
        <x:v>unresolved</x:v>
      </x:c>
      <x:c r="F54" s="25" t="str">
        <x:v>company_catalyst</x:v>
      </x:c>
      <x:c r="G54" s="25" t="str">
        <x:v>["researching-company-events"]</x:v>
      </x:c>
      <x:c r="H54" s="25" t="str">
        <x:v>冻结时点只能确认重大合同预中标公告标题，无法取得公告正文以验证金额、确定性和风险；预中标也不等同正式中标，按未知处理。</x:v>
      </x:c>
      <x:c r="I54" s="25" t="str">
        <x:v>unresolved</x:v>
      </x:c>
      <x:c r="J54" s="12" t="str">
        <x:v>unresolved</x:v>
      </x:c>
      <x:c r="K54" s="12" t="str">
        <x:v>pending</x:v>
      </x:c>
      <x:c r="L54" s="25"/>
    </x:row>
    <x:row r="55" ht="48" customHeight="1">
      <x:c r="A55" s="18" t="n">
        <x:v>46259</x:v>
      </x:c>
      <x:c r="B55" s="18" t="n">
        <x:v>46260</x:v>
      </x:c>
      <x:c r="C55" s="14" t="str">
        <x:v>002645.SZ</x:v>
      </x:c>
      <x:c r="D55" s="14" t="str">
        <x:v>华宏科技</x:v>
      </x:c>
      <x:c r="E55" s="14" t="str">
        <x:v>rejected</x:v>
      </x:c>
      <x:c r="F55" s="26" t="str">
        <x:v>company_catalyst</x:v>
      </x:c>
      <x:c r="G55" s="26" t="str">
        <x:v>["researching-company-events"]</x:v>
      </x:c>
      <x:c r="H55" s="26" t="str">
        <x:v>半年报利润和现金流改善真实，但7月业绩预告已大体披露，正式报告只是确认；形成日前5日下跌9.03%且明显跑输市场和行业，不构成新催化。</x:v>
      </x:c>
      <x:c r="I55" s="26" t="str">
        <x:v>anchor_only</x:v>
      </x:c>
      <x:c r="J55" s="14" t="str">
        <x:v>inactive</x:v>
      </x:c>
      <x:c r="K55" s="14" t="str">
        <x:v>rejected</x:v>
      </x:c>
      <x:c r="L55" s="26"/>
    </x:row>
    <x:row r="56" ht="48" customHeight="1">
      <x:c r="A56" s="17" t="n">
        <x:v>46259</x:v>
      </x:c>
      <x:c r="B56" s="17" t="n">
        <x:v>46260</x:v>
      </x:c>
      <x:c r="C56" s="12" t="str">
        <x:v>601069.SH</x:v>
      </x:c>
      <x:c r="D56" s="12" t="str">
        <x:v>西部黄金</x:v>
      </x:c>
      <x:c r="E56" s="12" t="str">
        <x:v>rejected</x:v>
      </x:c>
      <x:c r="F56" s="25" t="str">
        <x:v>company_catalyst</x:v>
      </x:c>
      <x:c r="G56" s="25" t="str">
        <x:v>["researching-company-events"]</x:v>
      </x:c>
      <x:c r="H56" s="25" t="str">
        <x:v>半年报增长已由7月预告覆盖，正式报告只是确认；20日上涨37.03%后形成日下跌7.92%，路径过度延伸且短线方向混杂。</x:v>
      </x:c>
      <x:c r="I56" s="25" t="str">
        <x:v>anchor_only</x:v>
      </x:c>
      <x:c r="J56" s="12" t="str">
        <x:v>inactive</x:v>
      </x:c>
      <x:c r="K56" s="12" t="str">
        <x:v>mixed</x:v>
      </x:c>
      <x:c r="L56" s="25"/>
    </x:row>
    <x:row r="57" ht="48" customHeight="1">
      <x:c r="A57" s="18" t="n">
        <x:v>46260</x:v>
      </x:c>
      <x:c r="B57" s="18" t="n">
        <x:v>46261</x:v>
      </x:c>
      <x:c r="C57" s="14" t="str">
        <x:v>300107.SZ</x:v>
      </x:c>
      <x:c r="D57" s="14" t="str">
        <x:v>建新股份</x:v>
      </x:c>
      <x:c r="E57" s="14" t="str">
        <x:v>selected</x:v>
      </x:c>
      <x:c r="F57" s="26" t="str">
        <x:v>independent_price_anomaly</x:v>
      </x:c>
      <x:c r="G57" s="26" t="str">
        <x:v>["researching-company-events","analyzing-price-trading"]</x:v>
      </x:c>
      <x:c r="H57" s="26" t="str">
        <x:v>多窗口相对强势、3.32倍成交放大和无涨停贡献的有效突破同时成立，半年经营改善提供直接锚，且20日涨幅尚未明显耗尽。</x:v>
      </x:c>
      <x:c r="I57" s="26" t="str">
        <x:v>independent_demand_acceleration</x:v>
      </x:c>
      <x:c r="J57" s="14" t="str">
        <x:v>active</x:v>
      </x:c>
      <x:c r="K57" s="14" t="str">
        <x:v>confirmed</x:v>
      </x:c>
      <x:c r="L57" s="26"/>
    </x:row>
    <x:row r="58" ht="48" customHeight="1">
      <x:c r="A58" s="17" t="n">
        <x:v>46260</x:v>
      </x:c>
      <x:c r="B58" s="17" t="n">
        <x:v>46261</x:v>
      </x:c>
      <x:c r="C58" s="12" t="str">
        <x:v>301289.SZ</x:v>
      </x:c>
      <x:c r="D58" s="12" t="str">
        <x:v>国缆检测</x:v>
      </x:c>
      <x:c r="E58" s="12" t="str">
        <x:v>selected</x:v>
      </x:c>
      <x:c r="F58" s="25" t="str">
        <x:v>independent_price_anomaly</x:v>
      </x:c>
      <x:c r="G58" s="25" t="str">
        <x:v>["researching-company-events","analyzing-price-trading"]</x:v>
      </x:c>
      <x:c r="H58" s="25" t="str">
        <x:v>3日和5日持续跑赢市场，5.16倍成交放大仍能形成高效率收盘，20日涨幅适中且半年收入利润现金流均为正。</x:v>
      </x:c>
      <x:c r="I58" s="25" t="str">
        <x:v>independent_demand_acceleration</x:v>
      </x:c>
      <x:c r="J58" s="12" t="str">
        <x:v>active</x:v>
      </x:c>
      <x:c r="K58" s="12" t="str">
        <x:v>confirmed</x:v>
      </x:c>
      <x:c r="L58" s="25"/>
    </x:row>
    <x:row r="59" ht="48" customHeight="1">
      <x:c r="A59" s="18" t="n">
        <x:v>46260</x:v>
      </x:c>
      <x:c r="B59" s="18" t="n">
        <x:v>46261</x:v>
      </x:c>
      <x:c r="C59" s="14" t="str">
        <x:v>300082.SZ</x:v>
      </x:c>
      <x:c r="D59" s="14" t="str">
        <x:v>奥克股份</x:v>
      </x:c>
      <x:c r="E59" s="14" t="str">
        <x:v>selected</x:v>
      </x:c>
      <x:c r="F59" s="26" t="str">
        <x:v>independent_price_anomaly</x:v>
      </x:c>
      <x:c r="G59" s="26" t="str">
        <x:v>["researching-company-events","analyzing-price-trading"]</x:v>
      </x:c>
      <x:c r="H59" s="26" t="str">
        <x:v>3日和5日连续强势、4.34倍成交放大和接近1的价量效率共同确认需求，且不依赖涨停；半年收入利润改善但现金流仍是强反证。</x:v>
      </x:c>
      <x:c r="I59" s="26" t="str">
        <x:v>independent_demand_acceleration</x:v>
      </x:c>
      <x:c r="J59" s="14" t="str">
        <x:v>active</x:v>
      </x:c>
      <x:c r="K59" s="14" t="str">
        <x:v>confirmed</x:v>
      </x:c>
      <x:c r="L59" s="26"/>
    </x:row>
    <x:row r="60" ht="48" customHeight="1">
      <x:c r="A60" s="17" t="n">
        <x:v>46260</x:v>
      </x:c>
      <x:c r="B60" s="17" t="n">
        <x:v>46261</x:v>
      </x:c>
      <x:c r="C60" s="12" t="str">
        <x:v>603993.SH</x:v>
      </x:c>
      <x:c r="D60" s="12" t="str">
        <x:v>洛阳钼业</x:v>
      </x:c>
      <x:c r="E60" s="12" t="str">
        <x:v>selected</x:v>
      </x:c>
      <x:c r="F60" s="25" t="str">
        <x:v>independent_price_anomaly</x:v>
      </x:c>
      <x:c r="G60" s="25" t="str">
        <x:v>["researching-company-events","analyzing-price-trading"]</x:v>
      </x:c>
      <x:c r="H60" s="25" t="str">
        <x:v>5日相对市场强势、成交和收盘推进同时改善，20日累计涨幅很低，半年收入利润增长为价格需求提供经营锚。</x:v>
      </x:c>
      <x:c r="I60" s="25" t="str">
        <x:v>independent_demand_acceleration</x:v>
      </x:c>
      <x:c r="J60" s="12" t="str">
        <x:v>active</x:v>
      </x:c>
      <x:c r="K60" s="12" t="str">
        <x:v>confirmed</x:v>
      </x:c>
      <x:c r="L60" s="25"/>
    </x:row>
    <x:row r="61" ht="48" customHeight="1">
      <x:c r="A61" s="18" t="n">
        <x:v>46260</x:v>
      </x:c>
      <x:c r="B61" s="18" t="n">
        <x:v>46261</x:v>
      </x:c>
      <x:c r="C61" s="14" t="str">
        <x:v>300399.SZ</x:v>
      </x:c>
      <x:c r="D61" s="14" t="str">
        <x:v>天利科技</x:v>
      </x:c>
      <x:c r="E61" s="14" t="str">
        <x:v>rejected</x:v>
      </x:c>
      <x:c r="F61" s="26" t="str">
        <x:v>independent_price_anomaly</x:v>
      </x:c>
      <x:c r="G61" s="26" t="str">
        <x:v>["researching-company-events","analyzing-price-trading"]</x:v>
      </x:c>
      <x:c r="H61" s="26" t="str">
        <x:v>5日强度和半年经营改善真实，但近3日只上涨0.80%、上影频率较高，短窗推进已弱于入选股。</x:v>
      </x:c>
      <x:c r="I61" s="26" t="str">
        <x:v>independent_demand_acceleration</x:v>
      </x:c>
      <x:c r="J61" s="14" t="str">
        <x:v>active</x:v>
      </x:c>
      <x:c r="K61" s="14" t="str">
        <x:v>confirmed</x:v>
      </x:c>
      <x:c r="L61" s="26"/>
    </x:row>
    <x:row r="62" ht="48" customHeight="1">
      <x:c r="A62" s="17" t="n">
        <x:v>46260</x:v>
      </x:c>
      <x:c r="B62" s="17" t="n">
        <x:v>46261</x:v>
      </x:c>
      <x:c r="C62" s="12" t="str">
        <x:v>300690.SZ</x:v>
      </x:c>
      <x:c r="D62" s="12" t="str">
        <x:v>双一科技</x:v>
      </x:c>
      <x:c r="E62" s="12" t="str">
        <x:v>rejected</x:v>
      </x:c>
      <x:c r="F62" s="25" t="str">
        <x:v>independent_price_anomaly</x:v>
      </x:c>
      <x:c r="G62" s="25" t="str">
        <x:v>["researching-company-events","analyzing-price-trading"]</x:v>
      </x:c>
      <x:c r="H62" s="25" t="str">
        <x:v>3日和5日相对强势与3.37倍成交真实，但形成日下跌且冲高回落频率高，扣非利润同比下降形成公司反证。</x:v>
      </x:c>
      <x:c r="I62" s="25" t="str">
        <x:v>independent_demand_acceleration</x:v>
      </x:c>
      <x:c r="J62" s="12" t="str">
        <x:v>active</x:v>
      </x:c>
      <x:c r="K62" s="12" t="str">
        <x:v>confirmed</x:v>
      </x:c>
      <x:c r="L62" s="25"/>
    </x:row>
    <x:row r="63" ht="48" customHeight="1">
      <x:c r="A63" s="18" t="n">
        <x:v>46260</x:v>
      </x:c>
      <x:c r="B63" s="18" t="n">
        <x:v>46261</x:v>
      </x:c>
      <x:c r="C63" s="14" t="str">
        <x:v>603588.SH</x:v>
      </x:c>
      <x:c r="D63" s="14" t="str">
        <x:v>高能环境</x:v>
      </x:c>
      <x:c r="E63" s="14" t="str">
        <x:v>rejected</x:v>
      </x:c>
      <x:c r="F63" s="26" t="str">
        <x:v>independent_price_anomaly</x:v>
      </x:c>
      <x:c r="G63" s="26" t="str">
        <x:v>["researching-company-events","analyzing-price-trading"]</x:v>
      </x:c>
      <x:c r="H63" s="26" t="str">
        <x:v>5日相对强势和半年经营改善成立，但成交放大、路径效率与剩余空间均弱于入选股，且负债与现金流约束更明显。</x:v>
      </x:c>
      <x:c r="I63" s="26" t="str">
        <x:v>independent_demand_acceleration</x:v>
      </x:c>
      <x:c r="J63" s="14" t="str">
        <x:v>active</x:v>
      </x:c>
      <x:c r="K63" s="14" t="str">
        <x:v>confirmed</x:v>
      </x:c>
      <x:c r="L63" s="26"/>
    </x:row>
    <x:row r="64" ht="48" customHeight="1">
      <x:c r="A64" s="17" t="n">
        <x:v>46261</x:v>
      </x:c>
      <x:c r="B64" s="17" t="n">
        <x:v>46262</x:v>
      </x:c>
      <x:c r="C64" s="12" t="str">
        <x:v>003816.SZ</x:v>
      </x:c>
      <x:c r="D64" s="12" t="str">
        <x:v>中国广核</x:v>
      </x:c>
      <x:c r="E64" s="12" t="str">
        <x:v>selected</x:v>
      </x:c>
      <x:c r="F64" s="25" t="str">
        <x:v>independent_price_anomaly</x:v>
      </x:c>
      <x:c r="G64" s="25" t="str">
        <x:v>["researching-company-events","analyzing-price-trading"]</x:v>
      </x:c>
      <x:c r="H64" s="25" t="str">
        <x:v>20日几乎未上涨的基础上，3日和5日显著跑赢市场，成交放大仍能高效率推进收盘，剩余路径优于同类价格候选。</x:v>
      </x:c>
      <x:c r="I64" s="25" t="str">
        <x:v>independent_demand_acceleration</x:v>
      </x:c>
      <x:c r="J64" s="12" t="str">
        <x:v>active</x:v>
      </x:c>
      <x:c r="K64" s="12" t="str">
        <x:v>confirmed</x:v>
      </x:c>
      <x:c r="L64" s="25"/>
    </x:row>
    <x:row r="65" ht="48" customHeight="1">
      <x:c r="A65" s="18" t="n">
        <x:v>46261</x:v>
      </x:c>
      <x:c r="B65" s="18" t="n">
        <x:v>46262</x:v>
      </x:c>
      <x:c r="C65" s="14" t="str">
        <x:v>000655.SZ</x:v>
      </x:c>
      <x:c r="D65" s="14" t="str">
        <x:v>金岭矿业</x:v>
      </x:c>
      <x:c r="E65" s="14" t="str">
        <x:v>selected</x:v>
      </x:c>
      <x:c r="F65" s="26" t="str">
        <x:v>independent_price_anomaly</x:v>
      </x:c>
      <x:c r="G65" s="26" t="str">
        <x:v>["researching-company-events","analyzing-price-trading"]</x:v>
      </x:c>
      <x:c r="H65" s="26" t="str">
        <x:v>无涨停依赖的真实突破、连续相对强势和1.61倍成交放大同时成立，且20日累计涨幅仍可控。</x:v>
      </x:c>
      <x:c r="I65" s="26" t="str">
        <x:v>independent_demand_acceleration</x:v>
      </x:c>
      <x:c r="J65" s="14" t="str">
        <x:v>active</x:v>
      </x:c>
      <x:c r="K65" s="14" t="str">
        <x:v>confirmed</x:v>
      </x:c>
      <x:c r="L65" s="26"/>
    </x:row>
    <x:row r="66" ht="48" customHeight="1">
      <x:c r="A66" s="17" t="n">
        <x:v>46261</x:v>
      </x:c>
      <x:c r="B66" s="17" t="n">
        <x:v>46262</x:v>
      </x:c>
      <x:c r="C66" s="12" t="str">
        <x:v>000801.SZ</x:v>
      </x:c>
      <x:c r="D66" s="12" t="str">
        <x:v>四川九洲</x:v>
      </x:c>
      <x:c r="E66" s="12" t="str">
        <x:v>selected</x:v>
      </x:c>
      <x:c r="F66" s="25" t="str">
        <x:v>sector_diffusion</x:v>
      </x:c>
      <x:c r="G66" s="25" t="str">
        <x:v>["researching-sectors-industries","researching-company-events","analyzing-price-trading"]</x:v>
      </x:c>
      <x:c r="H66" s="25" t="str">
        <x:v>黑色家电二级行业满足V4广泛扩散全部条件，个股位于行业前列且价量推进完整，路径尚未明显透支。</x:v>
      </x:c>
      <x:c r="I66" s="25" t="str">
        <x:v>sector_broad_diffusion</x:v>
      </x:c>
      <x:c r="J66" s="12" t="str">
        <x:v>active</x:v>
      </x:c>
      <x:c r="K66" s="12" t="str">
        <x:v>confirmed</x:v>
      </x:c>
      <x:c r="L66" s="25"/>
    </x:row>
    <x:row r="67" ht="48" customHeight="1">
      <x:c r="A67" s="18" t="n">
        <x:v>46261</x:v>
      </x:c>
      <x:c r="B67" s="18" t="n">
        <x:v>46262</x:v>
      </x:c>
      <x:c r="C67" s="14" t="str">
        <x:v>000513.SZ</x:v>
      </x:c>
      <x:c r="D67" s="14" t="str">
        <x:v>丽珠集团</x:v>
      </x:c>
      <x:c r="E67" s="14" t="str">
        <x:v>selected</x:v>
      </x:c>
      <x:c r="F67" s="26" t="str">
        <x:v>company_catalyst</x:v>
      </x:c>
      <x:c r="G67" s="26" t="str">
        <x:v>["researching-company-events","analyzing-price-trading"]</x:v>
      </x:c>
      <x:c r="H67" s="26" t="str">
        <x:v>国产首个IL-17A/F双靶点创新生物制剂获批上市属于直接且实质的新信息，但仅按行动日首次价格确认条件列入。</x:v>
      </x:c>
      <x:c r="I67" s="26" t="str">
        <x:v>fresh_event_pending</x:v>
      </x:c>
      <x:c r="J67" s="14" t="str">
        <x:v>conditional</x:v>
      </x:c>
      <x:c r="K67" s="14" t="str">
        <x:v>pending</x:v>
      </x:c>
      <x:c r="L67" s="26"/>
    </x:row>
    <x:row r="68" ht="48" customHeight="1">
      <x:c r="A68" s="17" t="n">
        <x:v>46261</x:v>
      </x:c>
      <x:c r="B68" s="17" t="n">
        <x:v>46262</x:v>
      </x:c>
      <x:c r="C68" s="12" t="str">
        <x:v>301085.SZ</x:v>
      </x:c>
      <x:c r="D68" s="12" t="str">
        <x:v>亚康股份</x:v>
      </x:c>
      <x:c r="E68" s="12" t="str">
        <x:v>selected</x:v>
      </x:c>
      <x:c r="F68" s="25" t="str">
        <x:v>company_catalyst</x:v>
      </x:c>
      <x:c r="G68" s="25" t="str">
        <x:v>["researching-company-events","analyzing-price-trading"]</x:v>
      </x:c>
      <x:c r="H68" s="25" t="str">
        <x:v>五年9.2544亿元算力服务合同相对公司既有收入具有实质性，合同已生效且按月预付，但匿名客户和长履约期要求行动日价格确认。</x:v>
      </x:c>
      <x:c r="I68" s="25" t="str">
        <x:v>fresh_event_pending</x:v>
      </x:c>
      <x:c r="J68" s="12" t="str">
        <x:v>conditional</x:v>
      </x:c>
      <x:c r="K68" s="12" t="str">
        <x:v>pending</x:v>
      </x:c>
      <x:c r="L68" s="25"/>
    </x:row>
    <x:row r="69" ht="48" customHeight="1">
      <x:c r="A69" s="18" t="n">
        <x:v>46261</x:v>
      </x:c>
      <x:c r="B69" s="18" t="n">
        <x:v>46262</x:v>
      </x:c>
      <x:c r="C69" s="14" t="str">
        <x:v>002111.SZ</x:v>
      </x:c>
      <x:c r="D69" s="14" t="str">
        <x:v>威海广泰</x:v>
      </x:c>
      <x:c r="E69" s="14" t="str">
        <x:v>rejected</x:v>
      </x:c>
      <x:c r="F69" s="26" t="str">
        <x:v>company_catalyst</x:v>
      </x:c>
      <x:c r="G69" s="26" t="str">
        <x:v>["researching-company-events","analyzing-price-trading"]</x:v>
      </x:c>
      <x:c r="H69" s="26" t="str">
        <x:v>海外合同已收预付款且业务联系直接，但约1.15亿元仅约为2025年收入的3.46%，公告前价格也未显示独立强势。</x:v>
      </x:c>
      <x:c r="I69" s="26" t="str">
        <x:v>fresh_event_pending</x:v>
      </x:c>
      <x:c r="J69" s="14" t="str">
        <x:v>conditional</x:v>
      </x:c>
      <x:c r="K69" s="14" t="str">
        <x:v>pending</x:v>
      </x:c>
      <x:c r="L69" s="26"/>
    </x:row>
    <x:row r="70" ht="48" customHeight="1">
      <x:c r="A70" s="17" t="n">
        <x:v>46261</x:v>
      </x:c>
      <x:c r="B70" s="17" t="n">
        <x:v>46262</x:v>
      </x:c>
      <x:c r="C70" s="12" t="str">
        <x:v>301111.SZ</x:v>
      </x:c>
      <x:c r="D70" s="12" t="str">
        <x:v>粤万年青</x:v>
      </x:c>
      <x:c r="E70" s="12" t="str">
        <x:v>rejected</x:v>
      </x:c>
      <x:c r="F70" s="25" t="str">
        <x:v>company_catalyst</x:v>
      </x:c>
      <x:c r="G70" s="25" t="str">
        <x:v>["researching-company-events","analyzing-price-trading"]</x:v>
      </x:c>
      <x:c r="H70" s="25" t="str">
        <x:v>五年算力合同名义金额很大，但设备采购和融资压力高、毛利率仅约10%—20%、2026年无重大影响，且公告前20日已上涨36.88%。</x:v>
      </x:c>
      <x:c r="I70" s="25" t="str">
        <x:v>fresh_event_pending</x:v>
      </x:c>
      <x:c r="J70" s="12" t="str">
        <x:v>conditional</x:v>
      </x:c>
      <x:c r="K70" s="12" t="str">
        <x:v>pending</x:v>
      </x:c>
      <x:c r="L70" s="25"/>
    </x:row>
    <x:row r="71" ht="48" customHeight="1">
      <x:c r="A71" s="18" t="n">
        <x:v>46261</x:v>
      </x:c>
      <x:c r="B71" s="18" t="n">
        <x:v>46262</x:v>
      </x:c>
      <x:c r="C71" s="14" t="str">
        <x:v>002011.SZ</x:v>
      </x:c>
      <x:c r="D71" s="14" t="str">
        <x:v>盾安环境</x:v>
      </x:c>
      <x:c r="E71" s="14" t="str">
        <x:v>rejected</x:v>
      </x:c>
      <x:c r="F71" s="26" t="str">
        <x:v>sector_diffusion</x:v>
      </x:c>
      <x:c r="G71" s="26" t="str">
        <x:v>["researching-sectors-industries","researching-company-events","analyzing-price-trading"]</x:v>
      </x:c>
      <x:c r="H71" s="26" t="str">
        <x:v>家电零部件行业满足广泛扩散条件且个股路径很早，但行业3日和5日超额、成交份额增量和个股连续性均弱于四川九洲。</x:v>
      </x:c>
      <x:c r="I71" s="26" t="str">
        <x:v>sector_broad_diffusion</x:v>
      </x:c>
      <x:c r="J71" s="14" t="str">
        <x:v>active</x:v>
      </x:c>
      <x:c r="K71" s="14" t="str">
        <x:v>confirmed</x:v>
      </x:c>
      <x:c r="L71" s="26"/>
    </x:row>
    <x:row r="72" ht="48" customHeight="1">
      <x:c r="A72" s="17" t="n">
        <x:v>46262</x:v>
      </x:c>
      <x:c r="B72" s="17" t="n">
        <x:v>46265</x:v>
      </x:c>
      <x:c r="C72" s="12" t="str">
        <x:v>002430.SZ</x:v>
      </x:c>
      <x:c r="D72" s="12" t="str">
        <x:v>杭氧股份</x:v>
      </x:c>
      <x:c r="E72" s="12" t="str">
        <x:v>selected</x:v>
      </x:c>
      <x:c r="F72" s="25" t="str">
        <x:v>independent_price_anomaly</x:v>
      </x:c>
      <x:c r="G72" s="25" t="str">
        <x:v>["researching-company-events","analyzing-price-trading"]</x:v>
      </x:c>
      <x:c r="H72" s="25" t="str">
        <x:v>3日和5日分别上涨12.45%和12.64%，明显跑赢市场与行业，成交额比3.21且价量效率0.948；半年收入和利润同比两位数增长提供经营锚。</x:v>
      </x:c>
      <x:c r="I72" s="25" t="str">
        <x:v>independent_demand_acceleration</x:v>
      </x:c>
      <x:c r="J72" s="12" t="str">
        <x:v>active</x:v>
      </x:c>
      <x:c r="K72" s="12" t="str">
        <x:v>confirmed</x:v>
      </x:c>
      <x:c r="L72" s="25"/>
    </x:row>
    <x:row r="73" ht="48" customHeight="1">
      <x:c r="A73" s="18" t="n">
        <x:v>46262</x:v>
      </x:c>
      <x:c r="B73" s="18" t="n">
        <x:v>46265</x:v>
      </x:c>
      <x:c r="C73" s="14" t="str">
        <x:v>300910.SZ</x:v>
      </x:c>
      <x:c r="D73" s="14" t="str">
        <x:v>瑞丰新材</x:v>
      </x:c>
      <x:c r="E73" s="14" t="str">
        <x:v>selected</x:v>
      </x:c>
      <x:c r="F73" s="26" t="str">
        <x:v>sector_diffusion</x:v>
      </x:c>
      <x:c r="G73" s="26" t="str">
        <x:v>["researching-sectors-industries","researching-company-events","analyzing-price-trading"]</x:v>
      </x:c>
      <x:c r="H73" s="26" t="str">
        <x:v>化学制品组5日相对市场上涨2.56%、上涨覆盖率71.0%且贡献不集中；瑞丰新材3日和5日上涨13.27%和14.35%，属组内已确认领先成员。</x:v>
      </x:c>
      <x:c r="I73" s="26" t="str">
        <x:v>sector_broad_diffusion</x:v>
      </x:c>
      <x:c r="J73" s="14" t="str">
        <x:v>active</x:v>
      </x:c>
      <x:c r="K73" s="14" t="str">
        <x:v>confirmed</x:v>
      </x:c>
      <x:c r="L73" s="26"/>
    </x:row>
    <x:row r="74" ht="48" customHeight="1">
      <x:c r="A74" s="17" t="n">
        <x:v>46262</x:v>
      </x:c>
      <x:c r="B74" s="17" t="n">
        <x:v>46265</x:v>
      </x:c>
      <x:c r="C74" s="12" t="str">
        <x:v>600150.SH</x:v>
      </x:c>
      <x:c r="D74" s="12" t="str">
        <x:v>中国船舶</x:v>
      </x:c>
      <x:c r="E74" s="12" t="str">
        <x:v>selected</x:v>
      </x:c>
      <x:c r="F74" s="25" t="str">
        <x:v>company_catalyst</x:v>
      </x:c>
      <x:c r="G74" s="25" t="str">
        <x:v>["researching-company-events","analyzing-price-trading"]</x:v>
      </x:c>
      <x:c r="H74" s="25" t="str">
        <x:v>子公司签订12艘21700TEU LNG双燃料集装箱船合同，总价26.88亿美元并已生效；事件发生在形成日收盘后，本次只作条件性选择。</x:v>
      </x:c>
      <x:c r="I74" s="25" t="str">
        <x:v>fresh_event_pending</x:v>
      </x:c>
      <x:c r="J74" s="12" t="str">
        <x:v>conditional</x:v>
      </x:c>
      <x:c r="K74" s="12" t="str">
        <x:v>pending</x:v>
      </x:c>
      <x:c r="L74" s="25"/>
    </x:row>
    <x:row r="75" ht="48" customHeight="1">
      <x:c r="A75" s="18" t="n">
        <x:v>46262</x:v>
      </x:c>
      <x:c r="B75" s="18" t="n">
        <x:v>46265</x:v>
      </x:c>
      <x:c r="C75" s="14" t="str">
        <x:v>000928.SZ</x:v>
      </x:c>
      <x:c r="D75" s="14" t="str">
        <x:v>中钢国际</x:v>
      </x:c>
      <x:c r="E75" s="14" t="str">
        <x:v>selected</x:v>
      </x:c>
      <x:c r="F75" s="26" t="str">
        <x:v>independent_price_anomaly</x:v>
      </x:c>
      <x:c r="G75" s="26" t="str">
        <x:v>["researching-company-events","analyzing-price-trading"]</x:v>
      </x:c>
      <x:c r="H75" s="26" t="str">
        <x:v>5日上涨7.49%、跑赢市场7.70个百分点和行业5.03个百分点，成交额比2.24且价量效率0.938；处60日中低位，剩余路径多于高位候选。</x:v>
      </x:c>
      <x:c r="I75" s="26" t="str">
        <x:v>independent_demand_acceleration</x:v>
      </x:c>
      <x:c r="J75" s="14" t="str">
        <x:v>active</x:v>
      </x:c>
      <x:c r="K75" s="14" t="str">
        <x:v>confirmed</x:v>
      </x:c>
      <x:c r="L75" s="26"/>
    </x:row>
    <x:row r="76" ht="48" customHeight="1">
      <x:c r="A76" s="17" t="n">
        <x:v>46262</x:v>
      </x:c>
      <x:c r="B76" s="17" t="n">
        <x:v>46265</x:v>
      </x:c>
      <x:c r="C76" s="12" t="str">
        <x:v>603596.SH</x:v>
      </x:c>
      <x:c r="D76" s="12" t="str">
        <x:v>伯特利</x:v>
      </x:c>
      <x:c r="E76" s="12" t="str">
        <x:v>rejected</x:v>
      </x:c>
      <x:c r="F76" s="25" t="str">
        <x:v>independent_price_anomaly</x:v>
      </x:c>
      <x:c r="G76" s="25" t="str">
        <x:v>["researching-company-events","analyzing-price-trading"]</x:v>
      </x:c>
      <x:c r="H76" s="25" t="str">
        <x:v>5日价量很强，但8月28日单日涨8.11%占据大部分路径，收盘位置一般且一季度收入和利润基本持平，综合弱于前四只。</x:v>
      </x:c>
      <x:c r="I76" s="25" t="str">
        <x:v>independent_demand_acceleration</x:v>
      </x:c>
      <x:c r="J76" s="12" t="str">
        <x:v>active</x:v>
      </x:c>
      <x:c r="K76" s="12" t="str">
        <x:v>confirmed</x:v>
      </x:c>
      <x:c r="L76" s="25"/>
    </x:row>
    <x:row r="77" ht="48" customHeight="1">
      <x:c r="A77" s="18" t="n">
        <x:v>46262</x:v>
      </x:c>
      <x:c r="B77" s="18" t="n">
        <x:v>46265</x:v>
      </x:c>
      <x:c r="C77" s="14" t="str">
        <x:v>300022.SZ</x:v>
      </x:c>
      <x:c r="D77" s="14" t="str">
        <x:v>吉峰科技</x:v>
      </x:c>
      <x:c r="E77" s="14" t="str">
        <x:v>rejected</x:v>
      </x:c>
      <x:c r="F77" s="26" t="str">
        <x:v>company_catalyst</x:v>
      </x:c>
      <x:c r="G77" s="26" t="str">
        <x:v>["researching-company-events","analyzing-price-trading"]</x:v>
      </x:c>
      <x:c r="H77" s="26" t="str">
        <x:v>公司作为联合体牵头人获得低空智慧作业项目中标通知，但正式合同未签，最终范围和金额待合同确定，且项目偏离当前主营。</x:v>
      </x:c>
      <x:c r="I77" s="26" t="str">
        <x:v>anchor_only</x:v>
      </x:c>
      <x:c r="J77" s="14" t="str">
        <x:v>inactive</x:v>
      </x:c>
      <x:c r="K77" s="14" t="str">
        <x:v>mixed</x:v>
      </x:c>
      <x:c r="L77" s="26"/>
    </x:row>
    <x:row r="78" ht="48" customHeight="1">
      <x:c r="A78" s="17" t="n">
        <x:v>46262</x:v>
      </x:c>
      <x:c r="B78" s="17" t="n">
        <x:v>46265</x:v>
      </x:c>
      <x:c r="C78" s="12" t="str">
        <x:v>600293.SH</x:v>
      </x:c>
      <x:c r="D78" s="12" t="str">
        <x:v>三峡新材</x:v>
      </x:c>
      <x:c r="E78" s="12" t="str">
        <x:v>rejected</x:v>
      </x:c>
      <x:c r="F78" s="25" t="str">
        <x:v>sector_diffusion</x:v>
      </x:c>
      <x:c r="G78" s="25" t="str">
        <x:v>["researching-sectors-industries","researching-company-events","analyzing-price-trading"]</x:v>
      </x:c>
      <x:c r="H78" s="25" t="str">
        <x:v>玻璃玻纤组3日和5日扩散成立，个股也处组内领先分位；但一季度收入下降26.49%、归母利润由盈转亏，公司反证明显强于瑞丰新材。</x:v>
      </x:c>
      <x:c r="I78" s="25" t="str">
        <x:v>sector_broad_diffusion</x:v>
      </x:c>
      <x:c r="J78" s="12" t="str">
        <x:v>active</x:v>
      </x:c>
      <x:c r="K78" s="12" t="str">
        <x:v>confirmed</x:v>
      </x:c>
      <x:c r="L78" s="25"/>
    </x:row>
    <x:row r="79" ht="48" customHeight="1">
      <x:c r="A79" s="18" t="n">
        <x:v>46262</x:v>
      </x:c>
      <x:c r="B79" s="18" t="n">
        <x:v>46265</x:v>
      </x:c>
      <x:c r="C79" s="14" t="str">
        <x:v>600998.SH</x:v>
      </x:c>
      <x:c r="D79" s="14" t="str">
        <x:v>九州通</x:v>
      </x:c>
      <x:c r="E79" s="14" t="str">
        <x:v>rejected</x:v>
      </x:c>
      <x:c r="F79" s="26" t="str">
        <x:v>company_catalyst</x:v>
      </x:c>
      <x:c r="G79" s="26" t="str">
        <x:v>["researching-company-events","analyzing-price-trading"]</x:v>
      </x:c>
      <x:c r="H79" s="26" t="str">
        <x:v>子公司中标4312.05万元县域医共体信息一体化项目，对数字服务分部有意义；但正式合同未签、对集团整体体量有限，事件前价格和成交均弱。</x:v>
      </x:c>
      <x:c r="I79" s="26" t="str">
        <x:v>anchor_only</x:v>
      </x:c>
      <x:c r="J79" s="14" t="str">
        <x:v>inactive</x:v>
      </x:c>
      <x:c r="K79" s="14" t="str">
        <x:v>rejected</x:v>
      </x:c>
      <x:c r="L79" s="26"/>
    </x:row>
  </x:sheetData>
  <x:pageMargins left="0.7" right="0.7" top="0.75" bottom="0.75" header="0.3" footer="0.3"/>
  <x:tableParts count="1">
    <x:tablePart xmlns:r="http://schemas.openxmlformats.org/officeDocument/2006/relationships" r:id="Re3fb583afba740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10.220000267028809" hidden="0" customWidth="1"/>
    <x:col min="3" max="3" width="9.779999732971191" hidden="0" customWidth="1"/>
    <x:col min="4" max="4" width="9.329999923706055" hidden="0" customWidth="1"/>
    <x:col min="5" max="5" width="10.220000267028809" hidden="0" customWidth="1"/>
    <x:col min="6" max="6" width="5" hidden="0" customWidth="1"/>
    <x:col min="7" max="7" width="15" hidden="0" customWidth="1"/>
    <x:col min="8" max="8" width="8.329999923706055" hidden="0" customWidth="1"/>
    <x:col min="9" max="9" width="8.329999923706055" hidden="0" customWidth="1"/>
    <x:col min="10" max="10" width="8.329999923706055" hidden="0" customWidth="1"/>
    <x:col min="11" max="11" width="8.329999923706055" hidden="0" customWidth="1"/>
    <x:col min="12" max="12" width="9.109999656677246" hidden="0" customWidth="1"/>
    <x:col min="13" max="13" width="12.220000267028809" hidden="0" customWidth="1"/>
    <x:col min="14" max="14" width="13.890000343322754" hidden="0" customWidth="1"/>
    <x:col min="15" max="15" width="9.779999732971191" hidden="0" customWidth="1"/>
    <x:col min="16" max="16" width="11.329999923706055" hidden="0" customWidth="1"/>
    <x:col min="17" max="17" width="11.329999923706055" hidden="0" customWidth="1"/>
    <x:col min="18" max="18" width="8.670000076293945" hidden="0" customWidth="1"/>
    <x:col min="19" max="19" width="9.779999732971191" hidden="0" customWidth="1"/>
  </x:cols>
  <x:sheetData>
    <x:row r="1" ht="25.5" customHeight="1">
      <x:c r="A1" s="11" t="str">
        <x:v>事件键</x:v>
      </x:c>
      <x:c r="B1" s="16" t="str">
        <x:v>行动日</x:v>
      </x:c>
      <x:c r="C1" s="11" t="str">
        <x:v>代码</x:v>
      </x:c>
      <x:c r="D1" s="11" t="str">
        <x:v>名称</x:v>
      </x:c>
      <x:c r="E1" s="16" t="str">
        <x:v>交易日</x:v>
      </x:c>
      <x:c r="F1" s="22" t="str">
        <x:v>D</x:v>
      </x:c>
      <x:c r="G1" s="11" t="str">
        <x:v>状态</x:v>
      </x:c>
      <x:c r="H1" s="30" t="str">
        <x:v>开</x:v>
      </x:c>
      <x:c r="I1" s="30" t="str">
        <x:v>高</x:v>
      </x:c>
      <x:c r="J1" s="30" t="str">
        <x:v>低</x:v>
      </x:c>
      <x:c r="K1" s="30" t="str">
        <x:v>收</x:v>
      </x:c>
      <x:c r="L1" s="27" t="str">
        <x:v>日涨跌</x:v>
      </x:c>
      <x:c r="M1" s="33" t="str">
        <x:v>成交量(股)</x:v>
      </x:c>
      <x:c r="N1" s="33" t="str">
        <x:v>成交额(元)</x:v>
      </x:c>
      <x:c r="O1" s="27" t="str">
        <x:v>收盘收益</x:v>
      </x:c>
      <x:c r="P1" s="27" t="str">
        <x:v>最高收盘收益</x:v>
      </x:c>
      <x:c r="Q1" s="27" t="str">
        <x:v>最高盘中收益</x:v>
      </x:c>
      <x:c r="R1" s="27" t="str">
        <x:v>MAE</x:v>
      </x:c>
      <x:c r="S1" s="27" t="str">
        <x:v>峰值回撤</x:v>
      </x:c>
    </x:row>
    <x:row r="2" ht="19.5" customHeight="1">
      <x:c r="A2" s="12" t="str">
        <x:v>formal:2026-08-19:000703.SZ:selected</x:v>
      </x:c>
      <x:c r="B2" s="17" t="n">
        <x:v>46254</x:v>
      </x:c>
      <x:c r="C2" s="12" t="str">
        <x:v>000703.SZ</x:v>
      </x:c>
      <x:c r="D2" s="12" t="str">
        <x:v>恒逸石化</x:v>
      </x:c>
      <x:c r="E2" s="17" t="n">
        <x:v>46254</x:v>
      </x:c>
      <x:c r="F2" s="23" t="n">
        <x:v>1</x:v>
      </x:c>
      <x:c r="G2" s="12" t="str">
        <x:v>available</x:v>
      </x:c>
      <x:c r="H2" s="31" t="n">
        <x:v>19.32</x:v>
      </x:c>
      <x:c r="I2" s="31" t="n">
        <x:v>20.7</x:v>
      </x:c>
      <x:c r="J2" s="31" t="n">
        <x:v>18.84</x:v>
      </x:c>
      <x:c r="K2" s="31" t="n">
        <x:v>20.1</x:v>
      </x:c>
      <x:c r="L2" s="28" t="n">
        <x:v>0.053459000000000007</x:v>
      </x:c>
      <x:c r="M2" s="34" t="n">
        <x:v>174598562</x:v>
      </x:c>
      <x:c r="N2" s="34" t="n">
        <x:v>3496241963.04</x:v>
      </x:c>
      <x:c r="O2" s="28" t="n">
        <x:v>0.04037267080745344</x:v>
      </x:c>
      <x:c r="P2" s="28" t="n">
        <x:v>0.04037267080745344</x:v>
      </x:c>
      <x:c r="Q2" s="28" t="n">
        <x:v>0.0714285714285714</x:v>
      </x:c>
      <x:c r="R2" s="28" t="n">
        <x:v>-0.024844720496894568</x:v>
      </x:c>
      <x:c r="S2" s="28" t="n">
        <x:v>0</x:v>
      </x:c>
    </x:row>
    <x:row r="3" ht="19.5" customHeight="1">
      <x:c r="A3" s="14" t="str">
        <x:v>formal:2026-08-19:000703.SZ:selected</x:v>
      </x:c>
      <x:c r="B3" s="18" t="n">
        <x:v>46254</x:v>
      </x:c>
      <x:c r="C3" s="14" t="str">
        <x:v>000703.SZ</x:v>
      </x:c>
      <x:c r="D3" s="14" t="str">
        <x:v>恒逸石化</x:v>
      </x:c>
      <x:c r="E3" s="18" t="n">
        <x:v>46255</x:v>
      </x:c>
      <x:c r="F3" s="24" t="n">
        <x:v>2</x:v>
      </x:c>
      <x:c r="G3" s="14" t="str">
        <x:v>available</x:v>
      </x:c>
      <x:c r="H3" s="32" t="n">
        <x:v>20.12</x:v>
      </x:c>
      <x:c r="I3" s="32" t="n">
        <x:v>20.93</x:v>
      </x:c>
      <x:c r="J3" s="32" t="n">
        <x:v>19.7</x:v>
      </x:c>
      <x:c r="K3" s="32" t="n">
        <x:v>20.8</x:v>
      </x:c>
      <x:c r="L3" s="29" t="n">
        <x:v>0.034826</x:v>
      </x:c>
      <x:c r="M3" s="35" t="n">
        <x:v>116239125</x:v>
      </x:c>
      <x:c r="N3" s="35" t="n">
        <x:v>2374865003.12</x:v>
      </x:c>
      <x:c r="O3" s="29" t="n">
        <x:v>0.07660455486542439</x:v>
      </x:c>
      <x:c r="P3" s="29" t="n">
        <x:v>0.07660455486542439</x:v>
      </x:c>
      <x:c r="Q3" s="29" t="n">
        <x:v>0.08333333333333326</x:v>
      </x:c>
      <x:c r="R3" s="29" t="n">
        <x:v>-0.024844720496894568</x:v>
      </x:c>
      <x:c r="S3" s="29" t="n">
        <x:v>0</x:v>
      </x:c>
    </x:row>
    <x:row r="4" ht="19.5" customHeight="1">
      <x:c r="A4" s="12" t="str">
        <x:v>formal:2026-08-19:000703.SZ:selected</x:v>
      </x:c>
      <x:c r="B4" s="17" t="n">
        <x:v>46254</x:v>
      </x:c>
      <x:c r="C4" s="12" t="str">
        <x:v>000703.SZ</x:v>
      </x:c>
      <x:c r="D4" s="12" t="str">
        <x:v>恒逸石化</x:v>
      </x:c>
      <x:c r="E4" s="17" t="n">
        <x:v>46258</x:v>
      </x:c>
      <x:c r="F4" s="23" t="n">
        <x:v>3</x:v>
      </x:c>
      <x:c r="G4" s="12" t="str">
        <x:v>available</x:v>
      </x:c>
      <x:c r="H4" s="31" t="n">
        <x:v>20.59</x:v>
      </x:c>
      <x:c r="I4" s="31" t="n">
        <x:v>20.95</x:v>
      </x:c>
      <x:c r="J4" s="31" t="n">
        <x:v>18.73</x:v>
      </x:c>
      <x:c r="K4" s="31" t="n">
        <x:v>19.02</x:v>
      </x:c>
      <x:c r="L4" s="28" t="n">
        <x:v>-0.085577</x:v>
      </x:c>
      <x:c r="M4" s="34" t="n">
        <x:v>154297622</x:v>
      </x:c>
      <x:c r="N4" s="34" t="n">
        <x:v>3006417544.21</x:v>
      </x:c>
      <x:c r="O4" s="28" t="n">
        <x:v>-0.015527950310559091</x:v>
      </x:c>
      <x:c r="P4" s="28" t="n">
        <x:v>0.07660455486542439</x:v>
      </x:c>
      <x:c r="Q4" s="28" t="n">
        <x:v>0.08436853002070377</x:v>
      </x:c>
      <x:c r="R4" s="28" t="n">
        <x:v>-0.030538302277432705</x:v>
      </x:c>
      <x:c r="S4" s="28" t="n">
        <x:v>-0.0855769230769231</x:v>
      </x:c>
    </x:row>
    <x:row r="5" ht="19.5" customHeight="1">
      <x:c r="A5" s="14" t="str">
        <x:v>formal:2026-08-19:000703.SZ:selected</x:v>
      </x:c>
      <x:c r="B5" s="18" t="n">
        <x:v>46254</x:v>
      </x:c>
      <x:c r="C5" s="14" t="str">
        <x:v>000703.SZ</x:v>
      </x:c>
      <x:c r="D5" s="14" t="str">
        <x:v>恒逸石化</x:v>
      </x:c>
      <x:c r="E5" s="18" t="n">
        <x:v>46259</x:v>
      </x:c>
      <x:c r="F5" s="24" t="n">
        <x:v>4</x:v>
      </x:c>
      <x:c r="G5" s="14" t="str">
        <x:v>available</x:v>
      </x:c>
      <x:c r="H5" s="32" t="n">
        <x:v>19.29</x:v>
      </x:c>
      <x:c r="I5" s="32" t="n">
        <x:v>19.38</x:v>
      </x:c>
      <x:c r="J5" s="32" t="n">
        <x:v>18</x:v>
      </x:c>
      <x:c r="K5" s="32" t="n">
        <x:v>18.34</x:v>
      </x:c>
      <x:c r="L5" s="29" t="n">
        <x:v>-0.035752</x:v>
      </x:c>
      <x:c r="M5" s="35" t="n">
        <x:v>119116771</x:v>
      </x:c>
      <x:c r="N5" s="35" t="n">
        <x:v>2207488955.0899997</x:v>
      </x:c>
      <x:c r="O5" s="29" t="n">
        <x:v>-0.050724637681159424</x:v>
      </x:c>
      <x:c r="P5" s="29" t="n">
        <x:v>0.07660455486542439</x:v>
      </x:c>
      <x:c r="Q5" s="29" t="n">
        <x:v>0.08436853002070377</x:v>
      </x:c>
      <x:c r="R5" s="29" t="n">
        <x:v>-0.06832298136645976</x:v>
      </x:c>
      <x:c r="S5" s="29" t="n">
        <x:v>-0.1182692307692308</x:v>
      </x:c>
    </x:row>
    <x:row r="6" ht="19.5" customHeight="1">
      <x:c r="A6" s="12" t="str">
        <x:v>formal:2026-08-19:000703.SZ:selected</x:v>
      </x:c>
      <x:c r="B6" s="17" t="n">
        <x:v>46254</x:v>
      </x:c>
      <x:c r="C6" s="12" t="str">
        <x:v>000703.SZ</x:v>
      </x:c>
      <x:c r="D6" s="12" t="str">
        <x:v>恒逸石化</x:v>
      </x:c>
      <x:c r="E6" s="17" t="n">
        <x:v>46260</x:v>
      </x:c>
      <x:c r="F6" s="23" t="n">
        <x:v>5</x:v>
      </x:c>
      <x:c r="G6" s="12" t="str">
        <x:v>available</x:v>
      </x:c>
      <x:c r="H6" s="31" t="n">
        <x:v>17.75</x:v>
      </x:c>
      <x:c r="I6" s="31" t="n">
        <x:v>18.44</x:v>
      </x:c>
      <x:c r="J6" s="31" t="n">
        <x:v>17.72</x:v>
      </x:c>
      <x:c r="K6" s="31" t="n">
        <x:v>18.2</x:v>
      </x:c>
      <x:c r="L6" s="28" t="n">
        <x:v>-0.007633999999999999</x:v>
      </x:c>
      <x:c r="M6" s="34" t="n">
        <x:v>109873122</x:v>
      </x:c>
      <x:c r="N6" s="34" t="n">
        <x:v>1981552458.56</x:v>
      </x:c>
      <x:c r="O6" s="28" t="n">
        <x:v>-0.05797101449275366</x:v>
      </x:c>
      <x:c r="P6" s="28" t="n">
        <x:v>0.07660455486542439</x:v>
      </x:c>
      <x:c r="Q6" s="28" t="n">
        <x:v>0.08436853002070377</x:v>
      </x:c>
      <x:c r="R6" s="28" t="n">
        <x:v>-0.08281573498964812</x:v>
      </x:c>
      <x:c r="S6" s="28" t="n">
        <x:v>-0.125</x:v>
      </x:c>
    </x:row>
    <x:row r="7" ht="19.5" customHeight="1">
      <x:c r="A7" s="14" t="str">
        <x:v>formal:2026-08-19:000703.SZ:selected</x:v>
      </x:c>
      <x:c r="B7" s="18" t="n">
        <x:v>46254</x:v>
      </x:c>
      <x:c r="C7" s="14" t="str">
        <x:v>000703.SZ</x:v>
      </x:c>
      <x:c r="D7" s="14" t="str">
        <x:v>恒逸石化</x:v>
      </x:c>
      <x:c r="E7" s="18" t="n">
        <x:v>46261</x:v>
      </x:c>
      <x:c r="F7" s="24" t="n">
        <x:v>6</x:v>
      </x:c>
      <x:c r="G7" s="14" t="str">
        <x:v>available</x:v>
      </x:c>
      <x:c r="H7" s="32" t="n">
        <x:v>18.18</x:v>
      </x:c>
      <x:c r="I7" s="32" t="n">
        <x:v>19.55</x:v>
      </x:c>
      <x:c r="J7" s="32" t="n">
        <x:v>17.93</x:v>
      </x:c>
      <x:c r="K7" s="32" t="n">
        <x:v>19.2</x:v>
      </x:c>
      <x:c r="L7" s="29" t="n">
        <x:v>0.054945</x:v>
      </x:c>
      <x:c r="M7" s="35" t="n">
        <x:v>120804327</x:v>
      </x:c>
      <x:c r="N7" s="35" t="n">
        <x:v>2269271510.28</x:v>
      </x:c>
      <x:c r="O7" s="29" t="n">
        <x:v>-0.006211180124223725</x:v>
      </x:c>
      <x:c r="P7" s="29" t="n">
        <x:v>0.07660455486542439</x:v>
      </x:c>
      <x:c r="Q7" s="29" t="n">
        <x:v>0.08436853002070377</x:v>
      </x:c>
      <x:c r="R7" s="29" t="n">
        <x:v>-0.08281573498964812</x:v>
      </x:c>
      <x:c r="S7" s="29" t="n">
        <x:v>-0.07692307692307698</x:v>
      </x:c>
    </x:row>
    <x:row r="8" ht="19.5" customHeight="1">
      <x:c r="A8" s="12" t="str">
        <x:v>formal:2026-08-19:000703.SZ:selected</x:v>
      </x:c>
      <x:c r="B8" s="17" t="n">
        <x:v>46254</x:v>
      </x:c>
      <x:c r="C8" s="12" t="str">
        <x:v>000703.SZ</x:v>
      </x:c>
      <x:c r="D8" s="12" t="str">
        <x:v>恒逸石化</x:v>
      </x:c>
      <x:c r="E8" s="17" t="n">
        <x:v>46262</x:v>
      </x:c>
      <x:c r="F8" s="23" t="n">
        <x:v>7</x:v>
      </x:c>
      <x:c r="G8" s="12" t="str">
        <x:v>available</x:v>
      </x:c>
      <x:c r="H8" s="31" t="n">
        <x:v>19.2</x:v>
      </x:c>
      <x:c r="I8" s="31" t="n">
        <x:v>19.74</x:v>
      </x:c>
      <x:c r="J8" s="31" t="n">
        <x:v>18.88</x:v>
      </x:c>
      <x:c r="K8" s="31" t="n">
        <x:v>19.49</x:v>
      </x:c>
      <x:c r="L8" s="28" t="n">
        <x:v>0.015104</x:v>
      </x:c>
      <x:c r="M8" s="34" t="n">
        <x:v>93911707</x:v>
      </x:c>
      <x:c r="N8" s="34" t="n">
        <x:v>1821312529.62</x:v>
      </x:c>
      <x:c r="O8" s="28" t="n">
        <x:v>0.008799171842649889</x:v>
      </x:c>
      <x:c r="P8" s="28" t="n">
        <x:v>0.07660455486542439</x:v>
      </x:c>
      <x:c r="Q8" s="28" t="n">
        <x:v>0.08436853002070377</x:v>
      </x:c>
      <x:c r="R8" s="28" t="n">
        <x:v>-0.08281573498964812</x:v>
      </x:c>
      <x:c r="S8" s="28" t="n">
        <x:v>-0.06298076923076934</x:v>
      </x:c>
    </x:row>
    <x:row r="9" ht="19.5" customHeight="1">
      <x:c r="A9" s="14" t="str">
        <x:v>formal:2026-08-19:000703.SZ:selected</x:v>
      </x:c>
      <x:c r="B9" s="18" t="n">
        <x:v>46254</x:v>
      </x:c>
      <x:c r="C9" s="14" t="str">
        <x:v>000703.SZ</x:v>
      </x:c>
      <x:c r="D9" s="14" t="str">
        <x:v>恒逸石化</x:v>
      </x:c>
      <x:c r="E9" s="18" t="n">
        <x:v>46265</x:v>
      </x:c>
      <x:c r="F9" s="24" t="n">
        <x:v>8</x:v>
      </x:c>
      <x:c r="G9" s="14" t="str">
        <x:v>available</x:v>
      </x:c>
      <x:c r="H9" s="32" t="n">
        <x:v>19.8</x:v>
      </x:c>
      <x:c r="I9" s="32" t="n">
        <x:v>19.9</x:v>
      </x:c>
      <x:c r="J9" s="32" t="n">
        <x:v>18.95</x:v>
      </x:c>
      <x:c r="K9" s="32" t="n">
        <x:v>19.52</x:v>
      </x:c>
      <x:c r="L9" s="29" t="n">
        <x:v>0.001539</x:v>
      </x:c>
      <x:c r="M9" s="35" t="n">
        <x:v>132783032</x:v>
      </x:c>
      <x:c r="N9" s="35" t="n">
        <x:v>2589127047.5</x:v>
      </x:c>
      <x:c r="O9" s="29" t="n">
        <x:v>0.010351966873705987</x:v>
      </x:c>
      <x:c r="P9" s="29" t="n">
        <x:v>0.07660455486542439</x:v>
      </x:c>
      <x:c r="Q9" s="29" t="n">
        <x:v>0.08436853002070377</x:v>
      </x:c>
      <x:c r="R9" s="29" t="n">
        <x:v>-0.08281573498964812</x:v>
      </x:c>
      <x:c r="S9" s="29" t="n">
        <x:v>-0.06153846153846154</x:v>
      </x:c>
    </x:row>
    <x:row r="10" ht="19.5" customHeight="1">
      <x:c r="A10" s="12" t="str">
        <x:v>formal:2026-08-19:601609.SH:selected</x:v>
      </x:c>
      <x:c r="B10" s="17" t="n">
        <x:v>46254</x:v>
      </x:c>
      <x:c r="C10" s="12" t="str">
        <x:v>601609.SH</x:v>
      </x:c>
      <x:c r="D10" s="12" t="str">
        <x:v>金田股份</x:v>
      </x:c>
      <x:c r="E10" s="17" t="n">
        <x:v>46254</x:v>
      </x:c>
      <x:c r="F10" s="23" t="n">
        <x:v>1</x:v>
      </x:c>
      <x:c r="G10" s="12" t="str">
        <x:v>available</x:v>
      </x:c>
      <x:c r="H10" s="31" t="n">
        <x:v>12.83</x:v>
      </x:c>
      <x:c r="I10" s="31" t="n">
        <x:v>13.02</x:v>
      </x:c>
      <x:c r="J10" s="31" t="n">
        <x:v>12.41</x:v>
      </x:c>
      <x:c r="K10" s="31" t="n">
        <x:v>12.87</x:v>
      </x:c>
      <x:c r="L10" s="28" t="n">
        <x:v>-0.006178</x:v>
      </x:c>
      <x:c r="M10" s="34" t="n">
        <x:v>149272112</x:v>
      </x:c>
      <x:c r="N10" s="34" t="n">
        <x:v>1905394843</x:v>
      </x:c>
      <x:c r="O10" s="28" t="n">
        <x:v>0.003117692907248726</x:v>
      </x:c>
      <x:c r="P10" s="28" t="n">
        <x:v>0.003117692907248726</x:v>
      </x:c>
      <x:c r="Q10" s="28" t="n">
        <x:v>0.014809041309431059</x:v>
      </x:c>
      <x:c r="R10" s="28" t="n">
        <x:v>-0.03273577552611062</x:v>
      </x:c>
      <x:c r="S10" s="28" t="n">
        <x:v>0</x:v>
      </x:c>
    </x:row>
    <x:row r="11" ht="19.5" customHeight="1">
      <x:c r="A11" s="14" t="str">
        <x:v>formal:2026-08-19:601609.SH:selected</x:v>
      </x:c>
      <x:c r="B11" s="18" t="n">
        <x:v>46254</x:v>
      </x:c>
      <x:c r="C11" s="14" t="str">
        <x:v>601609.SH</x:v>
      </x:c>
      <x:c r="D11" s="14" t="str">
        <x:v>金田股份</x:v>
      </x:c>
      <x:c r="E11" s="18" t="n">
        <x:v>46255</x:v>
      </x:c>
      <x:c r="F11" s="24" t="n">
        <x:v>2</x:v>
      </x:c>
      <x:c r="G11" s="14" t="str">
        <x:v>available</x:v>
      </x:c>
      <x:c r="H11" s="32" t="n">
        <x:v>12.86</x:v>
      </x:c>
      <x:c r="I11" s="32" t="n">
        <x:v>13.46</x:v>
      </x:c>
      <x:c r="J11" s="32" t="n">
        <x:v>12.78</x:v>
      </x:c>
      <x:c r="K11" s="32" t="n">
        <x:v>13.23</x:v>
      </x:c>
      <x:c r="L11" s="29" t="n">
        <x:v>0.027972</x:v>
      </x:c>
      <x:c r="M11" s="35" t="n">
        <x:v>106105775</x:v>
      </x:c>
      <x:c r="N11" s="35" t="n">
        <x:v>1401406868</x:v>
      </x:c>
      <x:c r="O11" s="29" t="n">
        <x:v>0.03117692907248637</x:v>
      </x:c>
      <x:c r="P11" s="29" t="n">
        <x:v>0.03117692907248637</x:v>
      </x:c>
      <x:c r="Q11" s="29" t="n">
        <x:v>0.049103663289166155</x:v>
      </x:c>
      <x:c r="R11" s="29" t="n">
        <x:v>-0.03273577552611062</x:v>
      </x:c>
      <x:c r="S11" s="29" t="n">
        <x:v>0</x:v>
      </x:c>
    </x:row>
    <x:row r="12" ht="19.5" customHeight="1">
      <x:c r="A12" s="12" t="str">
        <x:v>formal:2026-08-19:601609.SH:selected</x:v>
      </x:c>
      <x:c r="B12" s="17" t="n">
        <x:v>46254</x:v>
      </x:c>
      <x:c r="C12" s="12" t="str">
        <x:v>601609.SH</x:v>
      </x:c>
      <x:c r="D12" s="12" t="str">
        <x:v>金田股份</x:v>
      </x:c>
      <x:c r="E12" s="17" t="n">
        <x:v>46258</x:v>
      </x:c>
      <x:c r="F12" s="23" t="n">
        <x:v>3</x:v>
      </x:c>
      <x:c r="G12" s="12" t="str">
        <x:v>available</x:v>
      </x:c>
      <x:c r="H12" s="31" t="n">
        <x:v>13.1</x:v>
      </x:c>
      <x:c r="I12" s="31" t="n">
        <x:v>13.49</x:v>
      </x:c>
      <x:c r="J12" s="31" t="n">
        <x:v>13.01</x:v>
      </x:c>
      <x:c r="K12" s="31" t="n">
        <x:v>13.38</x:v>
      </x:c>
      <x:c r="L12" s="28" t="n">
        <x:v>0.011337999999999999</x:v>
      </x:c>
      <x:c r="M12" s="34" t="n">
        <x:v>95827177</x:v>
      </x:c>
      <x:c r="N12" s="34" t="n">
        <x:v>1271106722</x:v>
      </x:c>
      <x:c r="O12" s="28" t="n">
        <x:v>0.042868277474668925</x:v>
      </x:c>
      <x:c r="P12" s="28" t="n">
        <x:v>0.042868277474668925</x:v>
      </x:c>
      <x:c r="Q12" s="28" t="n">
        <x:v>0.05144193296960253</x:v>
      </x:c>
      <x:c r="R12" s="28" t="n">
        <x:v>-0.03273577552611062</x:v>
      </x:c>
      <x:c r="S12" s="28" t="n">
        <x:v>0</x:v>
      </x:c>
    </x:row>
    <x:row r="13" ht="19.5" customHeight="1">
      <x:c r="A13" s="14" t="str">
        <x:v>formal:2026-08-19:601609.SH:selected</x:v>
      </x:c>
      <x:c r="B13" s="18" t="n">
        <x:v>46254</x:v>
      </x:c>
      <x:c r="C13" s="14" t="str">
        <x:v>601609.SH</x:v>
      </x:c>
      <x:c r="D13" s="14" t="str">
        <x:v>金田股份</x:v>
      </x:c>
      <x:c r="E13" s="18" t="n">
        <x:v>46259</x:v>
      </x:c>
      <x:c r="F13" s="24" t="n">
        <x:v>4</x:v>
      </x:c>
      <x:c r="G13" s="14" t="str">
        <x:v>available</x:v>
      </x:c>
      <x:c r="H13" s="32" t="n">
        <x:v>13.12</x:v>
      </x:c>
      <x:c r="I13" s="32" t="n">
        <x:v>13.55</x:v>
      </x:c>
      <x:c r="J13" s="32" t="n">
        <x:v>13.1</x:v>
      </x:c>
      <x:c r="K13" s="32" t="n">
        <x:v>13.46</x:v>
      </x:c>
      <x:c r="L13" s="29" t="n">
        <x:v>0.005979</x:v>
      </x:c>
      <x:c r="M13" s="35" t="n">
        <x:v>73225650</x:v>
      </x:c>
      <x:c r="N13" s="35" t="n">
        <x:v>978161080</x:v>
      </x:c>
      <x:c r="O13" s="29" t="n">
        <x:v>0.049103663289166155</x:v>
      </x:c>
      <x:c r="P13" s="29" t="n">
        <x:v>0.049103663289166155</x:v>
      </x:c>
      <x:c r="Q13" s="29" t="n">
        <x:v>0.05611847233047551</x:v>
      </x:c>
      <x:c r="R13" s="29" t="n">
        <x:v>-0.03273577552611062</x:v>
      </x:c>
      <x:c r="S13" s="29" t="n">
        <x:v>0</x:v>
      </x:c>
    </x:row>
    <x:row r="14" ht="19.5" customHeight="1">
      <x:c r="A14" s="12" t="str">
        <x:v>formal:2026-08-19:601609.SH:selected</x:v>
      </x:c>
      <x:c r="B14" s="17" t="n">
        <x:v>46254</x:v>
      </x:c>
      <x:c r="C14" s="12" t="str">
        <x:v>601609.SH</x:v>
      </x:c>
      <x:c r="D14" s="12" t="str">
        <x:v>金田股份</x:v>
      </x:c>
      <x:c r="E14" s="17" t="n">
        <x:v>46260</x:v>
      </x:c>
      <x:c r="F14" s="23" t="n">
        <x:v>5</x:v>
      </x:c>
      <x:c r="G14" s="12" t="str">
        <x:v>available</x:v>
      </x:c>
      <x:c r="H14" s="31" t="n">
        <x:v>13.46</x:v>
      </x:c>
      <x:c r="I14" s="31" t="n">
        <x:v>13.64</x:v>
      </x:c>
      <x:c r="J14" s="31" t="n">
        <x:v>13.17</x:v>
      </x:c>
      <x:c r="K14" s="31" t="n">
        <x:v>13.17</x:v>
      </x:c>
      <x:c r="L14" s="28" t="n">
        <x:v>-0.021545</x:v>
      </x:c>
      <x:c r="M14" s="34" t="n">
        <x:v>58244290</x:v>
      </x:c>
      <x:c r="N14" s="34" t="n">
        <x:v>777599360</x:v>
      </x:c>
      <x:c r="O14" s="28" t="n">
        <x:v>0.026500389711613392</x:v>
      </x:c>
      <x:c r="P14" s="28" t="n">
        <x:v>0.049103663289166155</x:v>
      </x:c>
      <x:c r="Q14" s="28" t="n">
        <x:v>0.06313328137178487</x:v>
      </x:c>
      <x:c r="R14" s="28" t="n">
        <x:v>-0.03273577552611062</x:v>
      </x:c>
      <x:c r="S14" s="28" t="n">
        <x:v>-0.02154531946508187</x:v>
      </x:c>
    </x:row>
    <x:row r="15" ht="19.5" customHeight="1">
      <x:c r="A15" s="14" t="str">
        <x:v>formal:2026-08-19:601609.SH:selected</x:v>
      </x:c>
      <x:c r="B15" s="18" t="n">
        <x:v>46254</x:v>
      </x:c>
      <x:c r="C15" s="14" t="str">
        <x:v>601609.SH</x:v>
      </x:c>
      <x:c r="D15" s="14" t="str">
        <x:v>金田股份</x:v>
      </x:c>
      <x:c r="E15" s="18" t="n">
        <x:v>46261</x:v>
      </x:c>
      <x:c r="F15" s="24" t="n">
        <x:v>6</x:v>
      </x:c>
      <x:c r="G15" s="14" t="str">
        <x:v>available</x:v>
      </x:c>
      <x:c r="H15" s="32" t="n">
        <x:v>13.17</x:v>
      </x:c>
      <x:c r="I15" s="32" t="n">
        <x:v>13.63</x:v>
      </x:c>
      <x:c r="J15" s="32" t="n">
        <x:v>13.02</x:v>
      </x:c>
      <x:c r="K15" s="32" t="n">
        <x:v>13.35</x:v>
      </x:c>
      <x:c r="L15" s="29" t="n">
        <x:v>0.013667</x:v>
      </x:c>
      <x:c r="M15" s="35" t="n">
        <x:v>66568292.00000001</x:v>
      </x:c>
      <x:c r="N15" s="35" t="n">
        <x:v>884540012</x:v>
      </x:c>
      <x:c r="O15" s="29" t="n">
        <x:v>0.040530007794232326</x:v>
      </x:c>
      <x:c r="P15" s="29" t="n">
        <x:v>0.049103663289166155</x:v>
      </x:c>
      <x:c r="Q15" s="29" t="n">
        <x:v>0.06313328137178487</x:v>
      </x:c>
      <x:c r="R15" s="29" t="n">
        <x:v>-0.03273577552611062</x:v>
      </x:c>
      <x:c r="S15" s="29" t="n">
        <x:v>-0.008172362555720736</x:v>
      </x:c>
    </x:row>
    <x:row r="16" ht="19.5" customHeight="1">
      <x:c r="A16" s="12" t="str">
        <x:v>formal:2026-08-19:601609.SH:selected</x:v>
      </x:c>
      <x:c r="B16" s="17" t="n">
        <x:v>46254</x:v>
      </x:c>
      <x:c r="C16" s="12" t="str">
        <x:v>601609.SH</x:v>
      </x:c>
      <x:c r="D16" s="12" t="str">
        <x:v>金田股份</x:v>
      </x:c>
      <x:c r="E16" s="17" t="n">
        <x:v>46262</x:v>
      </x:c>
      <x:c r="F16" s="23" t="n">
        <x:v>7</x:v>
      </x:c>
      <x:c r="G16" s="12" t="str">
        <x:v>available</x:v>
      </x:c>
      <x:c r="H16" s="31" t="n">
        <x:v>13.3</x:v>
      </x:c>
      <x:c r="I16" s="31" t="n">
        <x:v>13.34</x:v>
      </x:c>
      <x:c r="J16" s="31" t="n">
        <x:v>12.92</x:v>
      </x:c>
      <x:c r="K16" s="31" t="n">
        <x:v>12.98</x:v>
      </x:c>
      <x:c r="L16" s="28" t="n">
        <x:v>-0.027715</x:v>
      </x:c>
      <x:c r="M16" s="34" t="n">
        <x:v>45706286</x:v>
      </x:c>
      <x:c r="N16" s="34" t="n">
        <x:v>597568658</x:v>
      </x:c>
      <x:c r="O16" s="28" t="n">
        <x:v>0.011691348402182555</x:v>
      </x:c>
      <x:c r="P16" s="28" t="n">
        <x:v>0.049103663289166155</x:v>
      </x:c>
      <x:c r="Q16" s="28" t="n">
        <x:v>0.06313328137178487</x:v>
      </x:c>
      <x:c r="R16" s="28" t="n">
        <x:v>-0.03273577552611062</x:v>
      </x:c>
      <x:c r="S16" s="28" t="n">
        <x:v>-0.03566121842496284</x:v>
      </x:c>
    </x:row>
    <x:row r="17" ht="19.5" customHeight="1">
      <x:c r="A17" s="14" t="str">
        <x:v>formal:2026-08-19:601609.SH:selected</x:v>
      </x:c>
      <x:c r="B17" s="18" t="n">
        <x:v>46254</x:v>
      </x:c>
      <x:c r="C17" s="14" t="str">
        <x:v>601609.SH</x:v>
      </x:c>
      <x:c r="D17" s="14" t="str">
        <x:v>金田股份</x:v>
      </x:c>
      <x:c r="E17" s="18" t="n">
        <x:v>46265</x:v>
      </x:c>
      <x:c r="F17" s="24" t="n">
        <x:v>8</x:v>
      </x:c>
      <x:c r="G17" s="14" t="str">
        <x:v>available</x:v>
      </x:c>
      <x:c r="H17" s="32" t="n">
        <x:v>12.63</x:v>
      </x:c>
      <x:c r="I17" s="32" t="n">
        <x:v>13.54</x:v>
      </x:c>
      <x:c r="J17" s="32" t="n">
        <x:v>12.56</x:v>
      </x:c>
      <x:c r="K17" s="32" t="n">
        <x:v>13.49</x:v>
      </x:c>
      <x:c r="L17" s="29" t="n">
        <x:v>0.039291</x:v>
      </x:c>
      <x:c r="M17" s="35" t="n">
        <x:v>57491760</x:v>
      </x:c>
      <x:c r="N17" s="35" t="n">
        <x:v>753175705</x:v>
      </x:c>
      <x:c r="O17" s="29" t="n">
        <x:v>0.05144193296960253</x:v>
      </x:c>
      <x:c r="P17" s="29" t="n">
        <x:v>0.05144193296960253</x:v>
      </x:c>
      <x:c r="Q17" s="29" t="n">
        <x:v>0.06313328137178487</x:v>
      </x:c>
      <x:c r="R17" s="29" t="n">
        <x:v>-0.03273577552611062</x:v>
      </x:c>
      <x:c r="S17" s="29" t="n">
        <x:v>0</x:v>
      </x:c>
    </x:row>
    <x:row r="18" ht="19.5" customHeight="1">
      <x:c r="A18" s="12" t="str">
        <x:v>formal:2026-08-19:600408.SH:selected</x:v>
      </x:c>
      <x:c r="B18" s="17" t="n">
        <x:v>46254</x:v>
      </x:c>
      <x:c r="C18" s="12" t="str">
        <x:v>600408.SH</x:v>
      </x:c>
      <x:c r="D18" s="12" t="str">
        <x:v>安泰集团</x:v>
      </x:c>
      <x:c r="E18" s="17" t="n">
        <x:v>46254</x:v>
      </x:c>
      <x:c r="F18" s="23" t="n">
        <x:v>1</x:v>
      </x:c>
      <x:c r="G18" s="12" t="str">
        <x:v>available</x:v>
      </x:c>
      <x:c r="H18" s="31" t="n">
        <x:v>2.85</x:v>
      </x:c>
      <x:c r="I18" s="31" t="n">
        <x:v>2.96</x:v>
      </x:c>
      <x:c r="J18" s="31" t="n">
        <x:v>2.77</x:v>
      </x:c>
      <x:c r="K18" s="31" t="n">
        <x:v>2.81</x:v>
      </x:c>
      <x:c r="L18" s="28" t="n">
        <x:v>-0.08766199999999999</x:v>
      </x:c>
      <x:c r="M18" s="34" t="n">
        <x:v>147495251</x:v>
      </x:c>
      <x:c r="N18" s="34" t="n">
        <x:v>418024637</x:v>
      </x:c>
      <x:c r="O18" s="28" t="n">
        <x:v>-0.01403508771929829</x:v>
      </x:c>
      <x:c r="P18" s="28" t="n">
        <x:v>-0.01403508771929829</x:v>
      </x:c>
      <x:c r="Q18" s="28" t="n">
        <x:v>0.03859649122807007</x:v>
      </x:c>
      <x:c r="R18" s="28" t="n">
        <x:v>-0.02807017543859658</x:v>
      </x:c>
      <x:c r="S18" s="28" t="n">
        <x:v>0</x:v>
      </x:c>
    </x:row>
    <x:row r="19" ht="19.5" customHeight="1">
      <x:c r="A19" s="14" t="str">
        <x:v>formal:2026-08-19:600408.SH:selected</x:v>
      </x:c>
      <x:c r="B19" s="18" t="n">
        <x:v>46254</x:v>
      </x:c>
      <x:c r="C19" s="14" t="str">
        <x:v>600408.SH</x:v>
      </x:c>
      <x:c r="D19" s="14" t="str">
        <x:v>安泰集团</x:v>
      </x:c>
      <x:c r="E19" s="18" t="n">
        <x:v>46255</x:v>
      </x:c>
      <x:c r="F19" s="24" t="n">
        <x:v>2</x:v>
      </x:c>
      <x:c r="G19" s="14" t="str">
        <x:v>available</x:v>
      </x:c>
      <x:c r="H19" s="32" t="n">
        <x:v>2.72</x:v>
      </x:c>
      <x:c r="I19" s="32" t="n">
        <x:v>2.87</x:v>
      </x:c>
      <x:c r="J19" s="32" t="n">
        <x:v>2.7</x:v>
      </x:c>
      <x:c r="K19" s="32" t="n">
        <x:v>2.87</x:v>
      </x:c>
      <x:c r="L19" s="29" t="n">
        <x:v>0.021352000000000003</x:v>
      </x:c>
      <x:c r="M19" s="35" t="n">
        <x:v>96098620</x:v>
      </x:c>
      <x:c r="N19" s="35" t="n">
        <x:v>269382619</x:v>
      </x:c>
      <x:c r="O19" s="29" t="n">
        <x:v>0.007017543859649145</x:v>
      </x:c>
      <x:c r="P19" s="29" t="n">
        <x:v>0.007017543859649145</x:v>
      </x:c>
      <x:c r="Q19" s="29" t="n">
        <x:v>0.03859649122807007</x:v>
      </x:c>
      <x:c r="R19" s="29" t="n">
        <x:v>-0.05263157894736836</x:v>
      </x:c>
      <x:c r="S19" s="29" t="n">
        <x:v>0</x:v>
      </x:c>
    </x:row>
    <x:row r="20" ht="19.5" customHeight="1">
      <x:c r="A20" s="12" t="str">
        <x:v>formal:2026-08-19:600408.SH:selected</x:v>
      </x:c>
      <x:c r="B20" s="17" t="n">
        <x:v>46254</x:v>
      </x:c>
      <x:c r="C20" s="12" t="str">
        <x:v>600408.SH</x:v>
      </x:c>
      <x:c r="D20" s="12" t="str">
        <x:v>安泰集团</x:v>
      </x:c>
      <x:c r="E20" s="17" t="n">
        <x:v>46258</x:v>
      </x:c>
      <x:c r="F20" s="23" t="n">
        <x:v>3</x:v>
      </x:c>
      <x:c r="G20" s="12" t="str">
        <x:v>available</x:v>
      </x:c>
      <x:c r="H20" s="31" t="n">
        <x:v>2.87</x:v>
      </x:c>
      <x:c r="I20" s="31" t="n">
        <x:v>2.95</x:v>
      </x:c>
      <x:c r="J20" s="31" t="n">
        <x:v>2.81</x:v>
      </x:c>
      <x:c r="K20" s="31" t="n">
        <x:v>2.86</x:v>
      </x:c>
      <x:c r="L20" s="28" t="n">
        <x:v>-0.0034839999999999997</x:v>
      </x:c>
      <x:c r="M20" s="34" t="n">
        <x:v>73968600</x:v>
      </x:c>
      <x:c r="N20" s="34" t="n">
        <x:v>211322982</x:v>
      </x:c>
      <x:c r="O20" s="28" t="n">
        <x:v>0.0035087719298243503</x:v>
      </x:c>
      <x:c r="P20" s="28" t="n">
        <x:v>0.007017543859649145</x:v>
      </x:c>
      <x:c r="Q20" s="28" t="n">
        <x:v>0.03859649122807007</x:v>
      </x:c>
      <x:c r="R20" s="28" t="n">
        <x:v>-0.05263157894736836</x:v>
      </x:c>
      <x:c r="S20" s="28" t="n">
        <x:v>-0.0034843205574914826</x:v>
      </x:c>
    </x:row>
    <x:row r="21" ht="19.5" customHeight="1">
      <x:c r="A21" s="14" t="str">
        <x:v>formal:2026-08-19:600408.SH:selected</x:v>
      </x:c>
      <x:c r="B21" s="18" t="n">
        <x:v>46254</x:v>
      </x:c>
      <x:c r="C21" s="14" t="str">
        <x:v>600408.SH</x:v>
      </x:c>
      <x:c r="D21" s="14" t="str">
        <x:v>安泰集团</x:v>
      </x:c>
      <x:c r="E21" s="18" t="n">
        <x:v>46259</x:v>
      </x:c>
      <x:c r="F21" s="24" t="n">
        <x:v>4</x:v>
      </x:c>
      <x:c r="G21" s="14" t="str">
        <x:v>available</x:v>
      </x:c>
      <x:c r="H21" s="32" t="n">
        <x:v>2.85</x:v>
      </x:c>
      <x:c r="I21" s="32" t="n">
        <x:v>2.98</x:v>
      </x:c>
      <x:c r="J21" s="32" t="n">
        <x:v>2.82</x:v>
      </x:c>
      <x:c r="K21" s="32" t="n">
        <x:v>2.95</x:v>
      </x:c>
      <x:c r="L21" s="29" t="n">
        <x:v>0.031469</x:v>
      </x:c>
      <x:c r="M21" s="35" t="n">
        <x:v>84283001</x:v>
      </x:c>
      <x:c r="N21" s="35" t="n">
        <x:v>246053874</x:v>
      </x:c>
      <x:c r="O21" s="29" t="n">
        <x:v>0.03508771929824572</x:v>
      </x:c>
      <x:c r="P21" s="29" t="n">
        <x:v>0.03508771929824572</x:v>
      </x:c>
      <x:c r="Q21" s="29" t="n">
        <x:v>0.04561403508771922</x:v>
      </x:c>
      <x:c r="R21" s="29" t="n">
        <x:v>-0.05263157894736836</x:v>
      </x:c>
      <x:c r="S21" s="29" t="n">
        <x:v>0</x:v>
      </x:c>
    </x:row>
    <x:row r="22" ht="19.5" customHeight="1">
      <x:c r="A22" s="12" t="str">
        <x:v>formal:2026-08-19:600408.SH:selected</x:v>
      </x:c>
      <x:c r="B22" s="17" t="n">
        <x:v>46254</x:v>
      </x:c>
      <x:c r="C22" s="12" t="str">
        <x:v>600408.SH</x:v>
      </x:c>
      <x:c r="D22" s="12" t="str">
        <x:v>安泰集团</x:v>
      </x:c>
      <x:c r="E22" s="17" t="n">
        <x:v>46260</x:v>
      </x:c>
      <x:c r="F22" s="23" t="n">
        <x:v>5</x:v>
      </x:c>
      <x:c r="G22" s="12" t="str">
        <x:v>available</x:v>
      </x:c>
      <x:c r="H22" s="31" t="n">
        <x:v>2.92</x:v>
      </x:c>
      <x:c r="I22" s="31" t="n">
        <x:v>3</x:v>
      </x:c>
      <x:c r="J22" s="31" t="n">
        <x:v>2.88</x:v>
      </x:c>
      <x:c r="K22" s="31" t="n">
        <x:v>2.96</x:v>
      </x:c>
      <x:c r="L22" s="28" t="n">
        <x:v>0.0033900000000000002</x:v>
      </x:c>
      <x:c r="M22" s="34" t="n">
        <x:v>58081419.99999999</x:v>
      </x:c>
      <x:c r="N22" s="34" t="n">
        <x:v>171905316</x:v>
      </x:c>
      <x:c r="O22" s="28" t="n">
        <x:v>0.03859649122807007</x:v>
      </x:c>
      <x:c r="P22" s="28" t="n">
        <x:v>0.03859649122807007</x:v>
      </x:c>
      <x:c r="Q22" s="28" t="n">
        <x:v>0.05263157894736836</x:v>
      </x:c>
      <x:c r="R22" s="28" t="n">
        <x:v>-0.05263157894736836</x:v>
      </x:c>
      <x:c r="S22" s="28" t="n">
        <x:v>0</x:v>
      </x:c>
    </x:row>
    <x:row r="23" ht="19.5" customHeight="1">
      <x:c r="A23" s="14" t="str">
        <x:v>formal:2026-08-19:600408.SH:selected</x:v>
      </x:c>
      <x:c r="B23" s="18" t="n">
        <x:v>46254</x:v>
      </x:c>
      <x:c r="C23" s="14" t="str">
        <x:v>600408.SH</x:v>
      </x:c>
      <x:c r="D23" s="14" t="str">
        <x:v>安泰集团</x:v>
      </x:c>
      <x:c r="E23" s="18" t="n">
        <x:v>46261</x:v>
      </x:c>
      <x:c r="F23" s="24" t="n">
        <x:v>6</x:v>
      </x:c>
      <x:c r="G23" s="14" t="str">
        <x:v>available</x:v>
      </x:c>
      <x:c r="H23" s="32" t="n">
        <x:v>2.95</x:v>
      </x:c>
      <x:c r="I23" s="32" t="n">
        <x:v>3.06</x:v>
      </x:c>
      <x:c r="J23" s="32" t="n">
        <x:v>2.93</x:v>
      </x:c>
      <x:c r="K23" s="32" t="n">
        <x:v>3.04</x:v>
      </x:c>
      <x:c r="L23" s="29" t="n">
        <x:v>0.027027000000000002</x:v>
      </x:c>
      <x:c r="M23" s="35" t="n">
        <x:v>61595202</x:v>
      </x:c>
      <x:c r="N23" s="35" t="n">
        <x:v>186029333</x:v>
      </x:c>
      <x:c r="O23" s="29" t="n">
        <x:v>0.06666666666666665</x:v>
      </x:c>
      <x:c r="P23" s="29" t="n">
        <x:v>0.06666666666666665</x:v>
      </x:c>
      <x:c r="Q23" s="29" t="n">
        <x:v>0.0736842105263158</x:v>
      </x:c>
      <x:c r="R23" s="29" t="n">
        <x:v>-0.05263157894736836</x:v>
      </x:c>
      <x:c r="S23" s="29" t="n">
        <x:v>0</x:v>
      </x:c>
    </x:row>
    <x:row r="24" ht="19.5" customHeight="1">
      <x:c r="A24" s="12" t="str">
        <x:v>formal:2026-08-19:600408.SH:selected</x:v>
      </x:c>
      <x:c r="B24" s="17" t="n">
        <x:v>46254</x:v>
      </x:c>
      <x:c r="C24" s="12" t="str">
        <x:v>600408.SH</x:v>
      </x:c>
      <x:c r="D24" s="12" t="str">
        <x:v>安泰集团</x:v>
      </x:c>
      <x:c r="E24" s="17" t="n">
        <x:v>46262</x:v>
      </x:c>
      <x:c r="F24" s="23" t="n">
        <x:v>7</x:v>
      </x:c>
      <x:c r="G24" s="12" t="str">
        <x:v>available</x:v>
      </x:c>
      <x:c r="H24" s="31" t="n">
        <x:v>3.06</x:v>
      </x:c>
      <x:c r="I24" s="31" t="n">
        <x:v>3.12</x:v>
      </x:c>
      <x:c r="J24" s="31" t="n">
        <x:v>3.02</x:v>
      </x:c>
      <x:c r="K24" s="31" t="n">
        <x:v>3.09</x:v>
      </x:c>
      <x:c r="L24" s="28" t="n">
        <x:v>0.016447</x:v>
      </x:c>
      <x:c r="M24" s="34" t="n">
        <x:v>52260100</x:v>
      </x:c>
      <x:c r="N24" s="34" t="n">
        <x:v>161172579</x:v>
      </x:c>
      <x:c r="O24" s="28" t="n">
        <x:v>0.08421052631578929</x:v>
      </x:c>
      <x:c r="P24" s="28" t="n">
        <x:v>0.08421052631578929</x:v>
      </x:c>
      <x:c r="Q24" s="28" t="n">
        <x:v>0.09473684210526301</x:v>
      </x:c>
      <x:c r="R24" s="28" t="n">
        <x:v>-0.05263157894736836</x:v>
      </x:c>
      <x:c r="S24" s="28" t="n">
        <x:v>0</x:v>
      </x:c>
    </x:row>
    <x:row r="25" ht="19.5" customHeight="1">
      <x:c r="A25" s="14" t="str">
        <x:v>formal:2026-08-19:600408.SH:selected</x:v>
      </x:c>
      <x:c r="B25" s="18" t="n">
        <x:v>46254</x:v>
      </x:c>
      <x:c r="C25" s="14" t="str">
        <x:v>600408.SH</x:v>
      </x:c>
      <x:c r="D25" s="14" t="str">
        <x:v>安泰集团</x:v>
      </x:c>
      <x:c r="E25" s="18" t="n">
        <x:v>46265</x:v>
      </x:c>
      <x:c r="F25" s="24" t="n">
        <x:v>8</x:v>
      </x:c>
      <x:c r="G25" s="14" t="str">
        <x:v>available</x:v>
      </x:c>
      <x:c r="H25" s="32" t="n">
        <x:v>3.12</x:v>
      </x:c>
      <x:c r="I25" s="32" t="n">
        <x:v>3.14</x:v>
      </x:c>
      <x:c r="J25" s="32" t="n">
        <x:v>3.06</x:v>
      </x:c>
      <x:c r="K25" s="32" t="n">
        <x:v>3.1</x:v>
      </x:c>
      <x:c r="L25" s="29" t="n">
        <x:v>0.003236</x:v>
      </x:c>
      <x:c r="M25" s="35" t="n">
        <x:v>54848102</x:v>
      </x:c>
      <x:c r="N25" s="35" t="n">
        <x:v>170310185</x:v>
      </x:c>
      <x:c r="O25" s="29" t="n">
        <x:v>0.08771929824561409</x:v>
      </x:c>
      <x:c r="P25" s="29" t="n">
        <x:v>0.08771929824561409</x:v>
      </x:c>
      <x:c r="Q25" s="29" t="n">
        <x:v>0.10175438596491237</x:v>
      </x:c>
      <x:c r="R25" s="29" t="n">
        <x:v>-0.05263157894736836</x:v>
      </x:c>
      <x:c r="S25" s="29" t="n">
        <x:v>0</x:v>
      </x:c>
    </x:row>
    <x:row r="26" ht="19.5" customHeight="1">
      <x:c r="A26" s="12" t="str">
        <x:v>formal:2026-08-19:002508.SZ:selected</x:v>
      </x:c>
      <x:c r="B26" s="17" t="n">
        <x:v>46254</x:v>
      </x:c>
      <x:c r="C26" s="12" t="str">
        <x:v>002508.SZ</x:v>
      </x:c>
      <x:c r="D26" s="12" t="str">
        <x:v>老板电器</x:v>
      </x:c>
      <x:c r="E26" s="17" t="n">
        <x:v>46254</x:v>
      </x:c>
      <x:c r="F26" s="23" t="n">
        <x:v>1</x:v>
      </x:c>
      <x:c r="G26" s="12" t="str">
        <x:v>available</x:v>
      </x:c>
      <x:c r="H26" s="31" t="n">
        <x:v>16.43</x:v>
      </x:c>
      <x:c r="I26" s="31" t="n">
        <x:v>16.55</x:v>
      </x:c>
      <x:c r="J26" s="31" t="n">
        <x:v>16.07</x:v>
      </x:c>
      <x:c r="K26" s="31" t="n">
        <x:v>16.34</x:v>
      </x:c>
      <x:c r="L26" s="28" t="n">
        <x:v>-0.005477999999999999</x:v>
      </x:c>
      <x:c r="M26" s="34" t="n">
        <x:v>10899475</x:v>
      </x:c>
      <x:c r="N26" s="34" t="n">
        <x:v>177705727.4</x:v>
      </x:c>
      <x:c r="O26" s="28" t="n">
        <x:v>-0.005477784540474651</x:v>
      </x:c>
      <x:c r="P26" s="28" t="n">
        <x:v>-0.005477784540474651</x:v>
      </x:c>
      <x:c r="Q26" s="28" t="n">
        <x:v>0.0073037127206330155</x:v>
      </x:c>
      <x:c r="R26" s="28" t="n">
        <x:v>-0.021911138161898935</x:v>
      </x:c>
      <x:c r="S26" s="28" t="n">
        <x:v>0</x:v>
      </x:c>
    </x:row>
    <x:row r="27" ht="19.5" customHeight="1">
      <x:c r="A27" s="14" t="str">
        <x:v>formal:2026-08-19:002508.SZ:selected</x:v>
      </x:c>
      <x:c r="B27" s="18" t="n">
        <x:v>46254</x:v>
      </x:c>
      <x:c r="C27" s="14" t="str">
        <x:v>002508.SZ</x:v>
      </x:c>
      <x:c r="D27" s="14" t="str">
        <x:v>老板电器</x:v>
      </x:c>
      <x:c r="E27" s="18" t="n">
        <x:v>46255</x:v>
      </x:c>
      <x:c r="F27" s="24" t="n">
        <x:v>2</x:v>
      </x:c>
      <x:c r="G27" s="14" t="str">
        <x:v>available</x:v>
      </x:c>
      <x:c r="H27" s="32" t="n">
        <x:v>16.3</x:v>
      </x:c>
      <x:c r="I27" s="32" t="n">
        <x:v>16.33</x:v>
      </x:c>
      <x:c r="J27" s="32" t="n">
        <x:v>16.03</x:v>
      </x:c>
      <x:c r="K27" s="32" t="n">
        <x:v>16.18</x:v>
      </x:c>
      <x:c r="L27" s="29" t="n">
        <x:v>-0.009792</x:v>
      </x:c>
      <x:c r="M27" s="35" t="n">
        <x:v>6097365</x:v>
      </x:c>
      <x:c r="N27" s="35" t="n">
        <x:v>98505372.31</x:v>
      </x:c>
      <x:c r="O27" s="29" t="n">
        <x:v>-0.015216068167985264</x:v>
      </x:c>
      <x:c r="P27" s="29" t="n">
        <x:v>-0.005477784540474651</x:v>
      </x:c>
      <x:c r="Q27" s="29" t="n">
        <x:v>0.0073037127206330155</x:v>
      </x:c>
      <x:c r="R27" s="29" t="n">
        <x:v>-0.02434570906877631</x:v>
      </x:c>
      <x:c r="S27" s="29" t="n">
        <x:v>-0.009791921664626613</x:v>
      </x:c>
    </x:row>
    <x:row r="28" ht="19.5" customHeight="1">
      <x:c r="A28" s="12" t="str">
        <x:v>formal:2026-08-19:002508.SZ:selected</x:v>
      </x:c>
      <x:c r="B28" s="17" t="n">
        <x:v>46254</x:v>
      </x:c>
      <x:c r="C28" s="12" t="str">
        <x:v>002508.SZ</x:v>
      </x:c>
      <x:c r="D28" s="12" t="str">
        <x:v>老板电器</x:v>
      </x:c>
      <x:c r="E28" s="17" t="n">
        <x:v>46258</x:v>
      </x:c>
      <x:c r="F28" s="23" t="n">
        <x:v>3</x:v>
      </x:c>
      <x:c r="G28" s="12" t="str">
        <x:v>available</x:v>
      </x:c>
      <x:c r="H28" s="31" t="n">
        <x:v>16.15</x:v>
      </x:c>
      <x:c r="I28" s="31" t="n">
        <x:v>16.65</x:v>
      </x:c>
      <x:c r="J28" s="31" t="n">
        <x:v>16.08</x:v>
      </x:c>
      <x:c r="K28" s="31" t="n">
        <x:v>16.57</x:v>
      </x:c>
      <x:c r="L28" s="28" t="n">
        <x:v>0.024104</x:v>
      </x:c>
      <x:c r="M28" s="34" t="n">
        <x:v>13132867.000000002</x:v>
      </x:c>
      <x:c r="N28" s="34" t="n">
        <x:v>216980526.82</x:v>
      </x:c>
      <x:c r="O28" s="28" t="n">
        <x:v>0.008520998174071925</x:v>
      </x:c>
      <x:c r="P28" s="28" t="n">
        <x:v>0.008520998174071925</x:v>
      </x:c>
      <x:c r="Q28" s="28" t="n">
        <x:v>0.013390139987827121</x:v>
      </x:c>
      <x:c r="R28" s="28" t="n">
        <x:v>-0.02434570906877631</x:v>
      </x:c>
      <x:c r="S28" s="28" t="n">
        <x:v>0</x:v>
      </x:c>
    </x:row>
    <x:row r="29" ht="19.5" customHeight="1">
      <x:c r="A29" s="14" t="str">
        <x:v>formal:2026-08-19:002508.SZ:selected</x:v>
      </x:c>
      <x:c r="B29" s="18" t="n">
        <x:v>46254</x:v>
      </x:c>
      <x:c r="C29" s="14" t="str">
        <x:v>002508.SZ</x:v>
      </x:c>
      <x:c r="D29" s="14" t="str">
        <x:v>老板电器</x:v>
      </x:c>
      <x:c r="E29" s="18" t="n">
        <x:v>46259</x:v>
      </x:c>
      <x:c r="F29" s="24" t="n">
        <x:v>4</x:v>
      </x:c>
      <x:c r="G29" s="14" t="str">
        <x:v>available</x:v>
      </x:c>
      <x:c r="H29" s="32" t="n">
        <x:v>16.43</x:v>
      </x:c>
      <x:c r="I29" s="32" t="n">
        <x:v>16.72</x:v>
      </x:c>
      <x:c r="J29" s="32" t="n">
        <x:v>16.43</x:v>
      </x:c>
      <x:c r="K29" s="32" t="n">
        <x:v>16.56</x:v>
      </x:c>
      <x:c r="L29" s="29" t="n">
        <x:v>-0.000604</x:v>
      </x:c>
      <x:c r="M29" s="35" t="n">
        <x:v>6914208</x:v>
      </x:c>
      <x:c r="N29" s="35" t="n">
        <x:v>114733558.04</x:v>
      </x:c>
      <x:c r="O29" s="29" t="n">
        <x:v>0.00791235544735236</x:v>
      </x:c>
      <x:c r="P29" s="29" t="n">
        <x:v>0.008520998174071925</x:v>
      </x:c>
      <x:c r="Q29" s="29" t="n">
        <x:v>0.017650639074863195</x:v>
      </x:c>
      <x:c r="R29" s="29" t="n">
        <x:v>-0.02434570906877631</x:v>
      </x:c>
      <x:c r="S29" s="29" t="n">
        <x:v>-0.0006035003017502705</x:v>
      </x:c>
    </x:row>
    <x:row r="30" ht="19.5" customHeight="1">
      <x:c r="A30" s="12" t="str">
        <x:v>formal:2026-08-19:002508.SZ:selected</x:v>
      </x:c>
      <x:c r="B30" s="17" t="n">
        <x:v>46254</x:v>
      </x:c>
      <x:c r="C30" s="12" t="str">
        <x:v>002508.SZ</x:v>
      </x:c>
      <x:c r="D30" s="12" t="str">
        <x:v>老板电器</x:v>
      </x:c>
      <x:c r="E30" s="17" t="n">
        <x:v>46260</x:v>
      </x:c>
      <x:c r="F30" s="23" t="n">
        <x:v>5</x:v>
      </x:c>
      <x:c r="G30" s="12" t="str">
        <x:v>available</x:v>
      </x:c>
      <x:c r="H30" s="31" t="n">
        <x:v>16.51</x:v>
      </x:c>
      <x:c r="I30" s="31" t="n">
        <x:v>16.72</x:v>
      </x:c>
      <x:c r="J30" s="31" t="n">
        <x:v>16.45</x:v>
      </x:c>
      <x:c r="K30" s="31" t="n">
        <x:v>16.5</x:v>
      </x:c>
      <x:c r="L30" s="28" t="n">
        <x:v>-0.003623</x:v>
      </x:c>
      <x:c r="M30" s="34" t="n">
        <x:v>5024016</x:v>
      </x:c>
      <x:c r="N30" s="34" t="n">
        <x:v>83444225.34</x:v>
      </x:c>
      <x:c r="O30" s="28" t="n">
        <x:v>0.004260499087036074</x:v>
      </x:c>
      <x:c r="P30" s="28" t="n">
        <x:v>0.008520998174071925</x:v>
      </x:c>
      <x:c r="Q30" s="28" t="n">
        <x:v>0.017650639074863195</x:v>
      </x:c>
      <x:c r="R30" s="28" t="n">
        <x:v>-0.02434570906877631</x:v>
      </x:c>
      <x:c r="S30" s="28" t="n">
        <x:v>-0.004224502112251005</x:v>
      </x:c>
    </x:row>
    <x:row r="31" ht="19.5" customHeight="1">
      <x:c r="A31" s="14" t="str">
        <x:v>formal:2026-08-19:002508.SZ:selected</x:v>
      </x:c>
      <x:c r="B31" s="18" t="n">
        <x:v>46254</x:v>
      </x:c>
      <x:c r="C31" s="14" t="str">
        <x:v>002508.SZ</x:v>
      </x:c>
      <x:c r="D31" s="14" t="str">
        <x:v>老板电器</x:v>
      </x:c>
      <x:c r="E31" s="18" t="n">
        <x:v>46261</x:v>
      </x:c>
      <x:c r="F31" s="24" t="n">
        <x:v>6</x:v>
      </x:c>
      <x:c r="G31" s="14" t="str">
        <x:v>available</x:v>
      </x:c>
      <x:c r="H31" s="32" t="n">
        <x:v>16.43</x:v>
      </x:c>
      <x:c r="I31" s="32" t="n">
        <x:v>16.51</x:v>
      </x:c>
      <x:c r="J31" s="32" t="n">
        <x:v>16.22</x:v>
      </x:c>
      <x:c r="K31" s="32" t="n">
        <x:v>16.3</x:v>
      </x:c>
      <x:c r="L31" s="29" t="n">
        <x:v>-0.012121</x:v>
      </x:c>
      <x:c r="M31" s="35" t="n">
        <x:v>7784360.000000001</x:v>
      </x:c>
      <x:c r="N31" s="35" t="n">
        <x:v>126993417.28</x:v>
      </x:c>
      <x:c r="O31" s="29" t="n">
        <x:v>-0.007912355447352248</x:v>
      </x:c>
      <x:c r="P31" s="29" t="n">
        <x:v>0.008520998174071925</x:v>
      </x:c>
      <x:c r="Q31" s="29" t="n">
        <x:v>0.017650639074863195</x:v>
      </x:c>
      <x:c r="R31" s="29" t="n">
        <x:v>-0.02434570906877631</x:v>
      </x:c>
      <x:c r="S31" s="29" t="n">
        <x:v>-0.016294508147253972</x:v>
      </x:c>
    </x:row>
    <x:row r="32" ht="19.5" customHeight="1">
      <x:c r="A32" s="12" t="str">
        <x:v>formal:2026-08-19:002508.SZ:selected</x:v>
      </x:c>
      <x:c r="B32" s="17" t="n">
        <x:v>46254</x:v>
      </x:c>
      <x:c r="C32" s="12" t="str">
        <x:v>002508.SZ</x:v>
      </x:c>
      <x:c r="D32" s="12" t="str">
        <x:v>老板电器</x:v>
      </x:c>
      <x:c r="E32" s="17" t="n">
        <x:v>46262</x:v>
      </x:c>
      <x:c r="F32" s="23" t="n">
        <x:v>7</x:v>
      </x:c>
      <x:c r="G32" s="12" t="str">
        <x:v>available</x:v>
      </x:c>
      <x:c r="H32" s="31" t="n">
        <x:v>16.27</x:v>
      </x:c>
      <x:c r="I32" s="31" t="n">
        <x:v>16.38</x:v>
      </x:c>
      <x:c r="J32" s="31" t="n">
        <x:v>15.86</x:v>
      </x:c>
      <x:c r="K32" s="31" t="n">
        <x:v>16.06</x:v>
      </x:c>
      <x:c r="L32" s="28" t="n">
        <x:v>-0.014724</x:v>
      </x:c>
      <x:c r="M32" s="34" t="n">
        <x:v>10621500</x:v>
      </x:c>
      <x:c r="N32" s="34" t="n">
        <x:v>170268410.69</x:v>
      </x:c>
      <x:c r="O32" s="28" t="n">
        <x:v>-0.02251978088861839</x:v>
      </x:c>
      <x:c r="P32" s="28" t="n">
        <x:v>0.008520998174071925</x:v>
      </x:c>
      <x:c r="Q32" s="28" t="n">
        <x:v>0.017650639074863195</x:v>
      </x:c>
      <x:c r="R32" s="28" t="n">
        <x:v>-0.0346926354230066</x:v>
      </x:c>
      <x:c r="S32" s="28" t="n">
        <x:v>-0.0307785153892578</x:v>
      </x:c>
    </x:row>
    <x:row r="33" ht="19.5" customHeight="1">
      <x:c r="A33" s="14" t="str">
        <x:v>formal:2026-08-19:002508.SZ:selected</x:v>
      </x:c>
      <x:c r="B33" s="18" t="n">
        <x:v>46254</x:v>
      </x:c>
      <x:c r="C33" s="14" t="str">
        <x:v>002508.SZ</x:v>
      </x:c>
      <x:c r="D33" s="14" t="str">
        <x:v>老板电器</x:v>
      </x:c>
      <x:c r="E33" s="18" t="n">
        <x:v>46265</x:v>
      </x:c>
      <x:c r="F33" s="24" t="n">
        <x:v>8</x:v>
      </x:c>
      <x:c r="G33" s="14" t="str">
        <x:v>available</x:v>
      </x:c>
      <x:c r="H33" s="32" t="n">
        <x:v>16.12</x:v>
      </x:c>
      <x:c r="I33" s="32" t="n">
        <x:v>16.36</x:v>
      </x:c>
      <x:c r="J33" s="32" t="n">
        <x:v>15.88</x:v>
      </x:c>
      <x:c r="K33" s="32" t="n">
        <x:v>15.9</x:v>
      </x:c>
      <x:c r="L33" s="29" t="n">
        <x:v>-0.009963</x:v>
      </x:c>
      <x:c r="M33" s="35" t="n">
        <x:v>10604577</x:v>
      </x:c>
      <x:c r="N33" s="35" t="n">
        <x:v>170373832.66</x:v>
      </x:c>
      <x:c r="O33" s="29" t="n">
        <x:v>-0.03225806451612878</x:v>
      </x:c>
      <x:c r="P33" s="29" t="n">
        <x:v>0.008520998174071925</x:v>
      </x:c>
      <x:c r="Q33" s="29" t="n">
        <x:v>0.017650639074863195</x:v>
      </x:c>
      <x:c r="R33" s="29" t="n">
        <x:v>-0.0346926354230066</x:v>
      </x:c>
      <x:c r="S33" s="29" t="n">
        <x:v>-0.040434520217259906</x:v>
      </x:c>
    </x:row>
    <x:row r="34" ht="19.5" customHeight="1">
      <x:c r="A34" s="12" t="str">
        <x:v>formal:2026-08-20:600601.SH:selected</x:v>
      </x:c>
      <x:c r="B34" s="17" t="n">
        <x:v>46255</x:v>
      </x:c>
      <x:c r="C34" s="12" t="str">
        <x:v>600601.SH</x:v>
      </x:c>
      <x:c r="D34" s="12" t="str">
        <x:v>方正科技</x:v>
      </x:c>
      <x:c r="E34" s="17" t="n">
        <x:v>46255</x:v>
      </x:c>
      <x:c r="F34" s="23" t="n">
        <x:v>1</x:v>
      </x:c>
      <x:c r="G34" s="12" t="str">
        <x:v>available</x:v>
      </x:c>
      <x:c r="H34" s="31" t="n">
        <x:v>12.25</x:v>
      </x:c>
      <x:c r="I34" s="31" t="n">
        <x:v>12.68</x:v>
      </x:c>
      <x:c r="J34" s="31" t="n">
        <x:v>12.01</x:v>
      </x:c>
      <x:c r="K34" s="31" t="n">
        <x:v>12.46</x:v>
      </x:c>
      <x:c r="L34" s="28" t="n">
        <x:v>0.011364</x:v>
      </x:c>
      <x:c r="M34" s="34" t="n">
        <x:v>144133187</x:v>
      </x:c>
      <x:c r="N34" s="34" t="n">
        <x:v>1789444728</x:v>
      </x:c>
      <x:c r="O34" s="28" t="n">
        <x:v>0.017142857142857126</x:v>
      </x:c>
      <x:c r="P34" s="28" t="n">
        <x:v>0.017142857142857126</x:v>
      </x:c>
      <x:c r="Q34" s="28" t="n">
        <x:v>0.03510204081632651</x:v>
      </x:c>
      <x:c r="R34" s="28" t="n">
        <x:v>-0.019591836734694</x:v>
      </x:c>
      <x:c r="S34" s="28" t="n">
        <x:v>0</x:v>
      </x:c>
    </x:row>
    <x:row r="35" ht="19.5" customHeight="1">
      <x:c r="A35" s="14" t="str">
        <x:v>formal:2026-08-20:600601.SH:selected</x:v>
      </x:c>
      <x:c r="B35" s="18" t="n">
        <x:v>46255</x:v>
      </x:c>
      <x:c r="C35" s="14" t="str">
        <x:v>600601.SH</x:v>
      </x:c>
      <x:c r="D35" s="14" t="str">
        <x:v>方正科技</x:v>
      </x:c>
      <x:c r="E35" s="18" t="n">
        <x:v>46258</x:v>
      </x:c>
      <x:c r="F35" s="24" t="n">
        <x:v>2</x:v>
      </x:c>
      <x:c r="G35" s="14" t="str">
        <x:v>available</x:v>
      </x:c>
      <x:c r="H35" s="32" t="n">
        <x:v>12.45</x:v>
      </x:c>
      <x:c r="I35" s="32" t="n">
        <x:v>12.45</x:v>
      </x:c>
      <x:c r="J35" s="32" t="n">
        <x:v>11.21</x:v>
      </x:c>
      <x:c r="K35" s="32" t="n">
        <x:v>11.54</x:v>
      </x:c>
      <x:c r="L35" s="29" t="n">
        <x:v>-0.073836</x:v>
      </x:c>
      <x:c r="M35" s="35" t="n">
        <x:v>210266942</x:v>
      </x:c>
      <x:c r="N35" s="35" t="n">
        <x:v>2454648558</x:v>
      </x:c>
      <x:c r="O35" s="29" t="n">
        <x:v>-0.05795918367346953</x:v>
      </x:c>
      <x:c r="P35" s="29" t="n">
        <x:v>0.017142857142857126</x:v>
      </x:c>
      <x:c r="Q35" s="29" t="n">
        <x:v>0.03510204081632651</x:v>
      </x:c>
      <x:c r="R35" s="29" t="n">
        <x:v>-0.08489795918367349</x:v>
      </x:c>
      <x:c r="S35" s="29" t="n">
        <x:v>-0.07383627608346721</x:v>
      </x:c>
    </x:row>
    <x:row r="36" ht="19.5" customHeight="1">
      <x:c r="A36" s="12" t="str">
        <x:v>formal:2026-08-20:600601.SH:selected</x:v>
      </x:c>
      <x:c r="B36" s="17" t="n">
        <x:v>46255</x:v>
      </x:c>
      <x:c r="C36" s="12" t="str">
        <x:v>600601.SH</x:v>
      </x:c>
      <x:c r="D36" s="12" t="str">
        <x:v>方正科技</x:v>
      </x:c>
      <x:c r="E36" s="17" t="n">
        <x:v>46259</x:v>
      </x:c>
      <x:c r="F36" s="23" t="n">
        <x:v>3</x:v>
      </x:c>
      <x:c r="G36" s="12" t="str">
        <x:v>available</x:v>
      </x:c>
      <x:c r="H36" s="31" t="n">
        <x:v>11.27</x:v>
      </x:c>
      <x:c r="I36" s="31" t="n">
        <x:v>11.76</x:v>
      </x:c>
      <x:c r="J36" s="31" t="n">
        <x:v>11.08</x:v>
      </x:c>
      <x:c r="K36" s="31" t="n">
        <x:v>11.55</x:v>
      </x:c>
      <x:c r="L36" s="28" t="n">
        <x:v>0.000867</x:v>
      </x:c>
      <x:c r="M36" s="34" t="n">
        <x:v>126654202</x:v>
      </x:c>
      <x:c r="N36" s="34" t="n">
        <x:v>1447712512</x:v>
      </x:c>
      <x:c r="O36" s="28" t="n">
        <x:v>-0.05714285714285716</x:v>
      </x:c>
      <x:c r="P36" s="28" t="n">
        <x:v>0.017142857142857126</x:v>
      </x:c>
      <x:c r="Q36" s="28" t="n">
        <x:v>0.03510204081632651</x:v>
      </x:c>
      <x:c r="R36" s="28" t="n">
        <x:v>-0.09551020408163269</x:v>
      </x:c>
      <x:c r="S36" s="28" t="n">
        <x:v>-0.0730337078651685</x:v>
      </x:c>
    </x:row>
    <x:row r="37" ht="19.5" customHeight="1">
      <x:c r="A37" s="14" t="str">
        <x:v>formal:2026-08-20:600601.SH:selected</x:v>
      </x:c>
      <x:c r="B37" s="18" t="n">
        <x:v>46255</x:v>
      </x:c>
      <x:c r="C37" s="14" t="str">
        <x:v>600601.SH</x:v>
      </x:c>
      <x:c r="D37" s="14" t="str">
        <x:v>方正科技</x:v>
      </x:c>
      <x:c r="E37" s="18" t="n">
        <x:v>46260</x:v>
      </x:c>
      <x:c r="F37" s="24" t="n">
        <x:v>4</x:v>
      </x:c>
      <x:c r="G37" s="14" t="str">
        <x:v>available</x:v>
      </x:c>
      <x:c r="H37" s="32" t="n">
        <x:v>11.58</x:v>
      </x:c>
      <x:c r="I37" s="32" t="n">
        <x:v>11.86</x:v>
      </x:c>
      <x:c r="J37" s="32" t="n">
        <x:v>11.26</x:v>
      </x:c>
      <x:c r="K37" s="32" t="n">
        <x:v>11.6</x:v>
      </x:c>
      <x:c r="L37" s="29" t="n">
        <x:v>0.004329</x:v>
      </x:c>
      <x:c r="M37" s="35" t="n">
        <x:v>110167164.99999999</x:v>
      </x:c>
      <x:c r="N37" s="35" t="n">
        <x:v>1275104077</x:v>
      </x:c>
      <x:c r="O37" s="29" t="n">
        <x:v>-0.053061224489796</x:v>
      </x:c>
      <x:c r="P37" s="29" t="n">
        <x:v>0.017142857142857126</x:v>
      </x:c>
      <x:c r="Q37" s="29" t="n">
        <x:v>0.03510204081632651</x:v>
      </x:c>
      <x:c r="R37" s="29" t="n">
        <x:v>-0.09551020408163269</x:v>
      </x:c>
      <x:c r="S37" s="29" t="n">
        <x:v>-0.0690208667736758</x:v>
      </x:c>
    </x:row>
    <x:row r="38" ht="19.5" customHeight="1">
      <x:c r="A38" s="12" t="str">
        <x:v>formal:2026-08-20:600601.SH:selected</x:v>
      </x:c>
      <x:c r="B38" s="17" t="n">
        <x:v>46255</x:v>
      </x:c>
      <x:c r="C38" s="12" t="str">
        <x:v>600601.SH</x:v>
      </x:c>
      <x:c r="D38" s="12" t="str">
        <x:v>方正科技</x:v>
      </x:c>
      <x:c r="E38" s="17" t="n">
        <x:v>46261</x:v>
      </x:c>
      <x:c r="F38" s="23" t="n">
        <x:v>5</x:v>
      </x:c>
      <x:c r="G38" s="12" t="str">
        <x:v>available</x:v>
      </x:c>
      <x:c r="H38" s="31" t="n">
        <x:v>11.74</x:v>
      </x:c>
      <x:c r="I38" s="31" t="n">
        <x:v>12.59</x:v>
      </x:c>
      <x:c r="J38" s="31" t="n">
        <x:v>11.7</x:v>
      </x:c>
      <x:c r="K38" s="31" t="n">
        <x:v>12.43</x:v>
      </x:c>
      <x:c r="L38" s="28" t="n">
        <x:v>0.071552</x:v>
      </x:c>
      <x:c r="M38" s="34" t="n">
        <x:v>181643217</x:v>
      </x:c>
      <x:c r="N38" s="34" t="n">
        <x:v>2225031777</x:v>
      </x:c>
      <x:c r="O38" s="28" t="n">
        <x:v>0.01469387755102014</x:v>
      </x:c>
      <x:c r="P38" s="28" t="n">
        <x:v>0.017142857142857126</x:v>
      </x:c>
      <x:c r="Q38" s="28" t="n">
        <x:v>0.03510204081632651</x:v>
      </x:c>
      <x:c r="R38" s="28" t="n">
        <x:v>-0.09551020408163269</x:v>
      </x:c>
      <x:c r="S38" s="28" t="n">
        <x:v>-0.0024077046548959258</x:v>
      </x:c>
    </x:row>
    <x:row r="39" ht="19.5" customHeight="1">
      <x:c r="A39" s="14" t="str">
        <x:v>formal:2026-08-20:600601.SH:selected</x:v>
      </x:c>
      <x:c r="B39" s="18" t="n">
        <x:v>46255</x:v>
      </x:c>
      <x:c r="C39" s="14" t="str">
        <x:v>600601.SH</x:v>
      </x:c>
      <x:c r="D39" s="14" t="str">
        <x:v>方正科技</x:v>
      </x:c>
      <x:c r="E39" s="18" t="n">
        <x:v>46262</x:v>
      </x:c>
      <x:c r="F39" s="24" t="n">
        <x:v>6</x:v>
      </x:c>
      <x:c r="G39" s="14" t="str">
        <x:v>available</x:v>
      </x:c>
      <x:c r="H39" s="32" t="n">
        <x:v>12.32</x:v>
      </x:c>
      <x:c r="I39" s="32" t="n">
        <x:v>12.98</x:v>
      </x:c>
      <x:c r="J39" s="32" t="n">
        <x:v>12.23</x:v>
      </x:c>
      <x:c r="K39" s="32" t="n">
        <x:v>12.33</x:v>
      </x:c>
      <x:c r="L39" s="29" t="n">
        <x:v>-0.008045</x:v>
      </x:c>
      <x:c r="M39" s="35" t="n">
        <x:v>157788759</x:v>
      </x:c>
      <x:c r="N39" s="35" t="n">
        <x:v>1990310291</x:v>
      </x:c>
      <x:c r="O39" s="29" t="n">
        <x:v>0.0065306122448980375</x:v>
      </x:c>
      <x:c r="P39" s="29" t="n">
        <x:v>0.017142857142857126</x:v>
      </x:c>
      <x:c r="Q39" s="29" t="n">
        <x:v>0.059591836734693926</x:v>
      </x:c>
      <x:c r="R39" s="29" t="n">
        <x:v>-0.09551020408163269</x:v>
      </x:c>
      <x:c r="S39" s="29" t="n">
        <x:v>-0.010433386837881087</x:v>
      </x:c>
    </x:row>
    <x:row r="40" ht="19.5" customHeight="1">
      <x:c r="A40" s="12" t="str">
        <x:v>formal:2026-08-20:600601.SH:selected</x:v>
      </x:c>
      <x:c r="B40" s="17" t="n">
        <x:v>46255</x:v>
      </x:c>
      <x:c r="C40" s="12" t="str">
        <x:v>600601.SH</x:v>
      </x:c>
      <x:c r="D40" s="12" t="str">
        <x:v>方正科技</x:v>
      </x:c>
      <x:c r="E40" s="17" t="n">
        <x:v>46265</x:v>
      </x:c>
      <x:c r="F40" s="23" t="n">
        <x:v>7</x:v>
      </x:c>
      <x:c r="G40" s="12" t="str">
        <x:v>available</x:v>
      </x:c>
      <x:c r="H40" s="31" t="n">
        <x:v>12.09</x:v>
      </x:c>
      <x:c r="I40" s="31" t="n">
        <x:v>12.84</x:v>
      </x:c>
      <x:c r="J40" s="31" t="n">
        <x:v>12.07</x:v>
      </x:c>
      <x:c r="K40" s="31" t="n">
        <x:v>12.79</x:v>
      </x:c>
      <x:c r="L40" s="28" t="n">
        <x:v>0.037307</x:v>
      </x:c>
      <x:c r="M40" s="34" t="n">
        <x:v>147643410</x:v>
      </x:c>
      <x:c r="N40" s="34" t="n">
        <x:v>1844432819</x:v>
      </x:c>
      <x:c r="O40" s="28" t="n">
        <x:v>0.04408163265306109</x:v>
      </x:c>
      <x:c r="P40" s="28" t="n">
        <x:v>0.04408163265306109</x:v>
      </x:c>
      <x:c r="Q40" s="28" t="n">
        <x:v>0.059591836734693926</x:v>
      </x:c>
      <x:c r="R40" s="28" t="n">
        <x:v>-0.09551020408163269</x:v>
      </x:c>
      <x:c r="S40" s="28" t="n">
        <x:v>0</x:v>
      </x:c>
    </x:row>
    <x:row r="41" ht="19.5" customHeight="1">
      <x:c r="A41" s="14" t="str">
        <x:v>formal:2026-08-20:603993.SH:selected</x:v>
      </x:c>
      <x:c r="B41" s="18" t="n">
        <x:v>46255</x:v>
      </x:c>
      <x:c r="C41" s="14" t="str">
        <x:v>603993.SH</x:v>
      </x:c>
      <x:c r="D41" s="14" t="str">
        <x:v>洛阳钼业</x:v>
      </x:c>
      <x:c r="E41" s="18" t="n">
        <x:v>46255</x:v>
      </x:c>
      <x:c r="F41" s="24" t="n">
        <x:v>1</x:v>
      </x:c>
      <x:c r="G41" s="14" t="str">
        <x:v>available</x:v>
      </x:c>
      <x:c r="H41" s="32" t="n">
        <x:v>18.39</x:v>
      </x:c>
      <x:c r="I41" s="32" t="n">
        <x:v>18.73</x:v>
      </x:c>
      <x:c r="J41" s="32" t="n">
        <x:v>18.19</x:v>
      </x:c>
      <x:c r="K41" s="32" t="n">
        <x:v>18.62</x:v>
      </x:c>
      <x:c r="L41" s="29" t="n">
        <x:v>0.019157</x:v>
      </x:c>
      <x:c r="M41" s="35" t="n">
        <x:v>175804884</x:v>
      </x:c>
      <x:c r="N41" s="35" t="n">
        <x:v>3255228804</x:v>
      </x:c>
      <x:c r="O41" s="29" t="n">
        <x:v>0.012506797172376238</x:v>
      </x:c>
      <x:c r="P41" s="29" t="n">
        <x:v>0.012506797172376238</x:v>
      </x:c>
      <x:c r="Q41" s="29" t="n">
        <x:v>0.018488308863512604</x:v>
      </x:c>
      <x:c r="R41" s="29" t="n">
        <x:v>-0.010875475802066159</x:v>
      </x:c>
      <x:c r="S41" s="29" t="n">
        <x:v>0</x:v>
      </x:c>
    </x:row>
    <x:row r="42" ht="19.5" customHeight="1">
      <x:c r="A42" s="12" t="str">
        <x:v>formal:2026-08-20:603993.SH:selected</x:v>
      </x:c>
      <x:c r="B42" s="17" t="n">
        <x:v>46255</x:v>
      </x:c>
      <x:c r="C42" s="12" t="str">
        <x:v>603993.SH</x:v>
      </x:c>
      <x:c r="D42" s="12" t="str">
        <x:v>洛阳钼业</x:v>
      </x:c>
      <x:c r="E42" s="17" t="n">
        <x:v>46258</x:v>
      </x:c>
      <x:c r="F42" s="23" t="n">
        <x:v>2</x:v>
      </x:c>
      <x:c r="G42" s="12" t="str">
        <x:v>available</x:v>
      </x:c>
      <x:c r="H42" s="31" t="n">
        <x:v>19</x:v>
      </x:c>
      <x:c r="I42" s="31" t="n">
        <x:v>19.35</x:v>
      </x:c>
      <x:c r="J42" s="31" t="n">
        <x:v>18.72</x:v>
      </x:c>
      <x:c r="K42" s="31" t="n">
        <x:v>18.99</x:v>
      </x:c>
      <x:c r="L42" s="28" t="n">
        <x:v>0.019871</x:v>
      </x:c>
      <x:c r="M42" s="34" t="n">
        <x:v>300106849</x:v>
      </x:c>
      <x:c r="N42" s="34" t="n">
        <x:v>5725236368</x:v>
      </x:c>
      <x:c r="O42" s="28" t="n">
        <x:v>0.03262642740619892</x:v>
      </x:c>
      <x:c r="P42" s="28" t="n">
        <x:v>0.03262642740619892</x:v>
      </x:c>
      <x:c r="Q42" s="28" t="n">
        <x:v>0.05220228384991854</x:v>
      </x:c>
      <x:c r="R42" s="28" t="n">
        <x:v>-0.010875475802066159</x:v>
      </x:c>
      <x:c r="S42" s="28" t="n">
        <x:v>0</x:v>
      </x:c>
    </x:row>
    <x:row r="43" ht="19.5" customHeight="1">
      <x:c r="A43" s="14" t="str">
        <x:v>formal:2026-08-20:603993.SH:selected</x:v>
      </x:c>
      <x:c r="B43" s="18" t="n">
        <x:v>46255</x:v>
      </x:c>
      <x:c r="C43" s="14" t="str">
        <x:v>603993.SH</x:v>
      </x:c>
      <x:c r="D43" s="14" t="str">
        <x:v>洛阳钼业</x:v>
      </x:c>
      <x:c r="E43" s="18" t="n">
        <x:v>46259</x:v>
      </x:c>
      <x:c r="F43" s="24" t="n">
        <x:v>3</x:v>
      </x:c>
      <x:c r="G43" s="14" t="str">
        <x:v>available</x:v>
      </x:c>
      <x:c r="H43" s="32" t="n">
        <x:v>18.8</x:v>
      </x:c>
      <x:c r="I43" s="32" t="n">
        <x:v>18.94</x:v>
      </x:c>
      <x:c r="J43" s="32" t="n">
        <x:v>18.18</x:v>
      </x:c>
      <x:c r="K43" s="32" t="n">
        <x:v>18.42</x:v>
      </x:c>
      <x:c r="L43" s="29" t="n">
        <x:v>-0.030015999999999998</x:v>
      </x:c>
      <x:c r="M43" s="35" t="n">
        <x:v>186333865</x:v>
      </x:c>
      <x:c r="N43" s="35" t="n">
        <x:v>3440586915</x:v>
      </x:c>
      <x:c r="O43" s="29" t="n">
        <x:v>0.0016313213703100793</x:v>
      </x:c>
      <x:c r="P43" s="29" t="n">
        <x:v>0.03262642740619892</x:v>
      </x:c>
      <x:c r="Q43" s="29" t="n">
        <x:v>0.05220228384991854</x:v>
      </x:c>
      <x:c r="R43" s="29" t="n">
        <x:v>-0.011419249592169667</x:v>
      </x:c>
      <x:c r="S43" s="29" t="n">
        <x:v>-0.03001579778830943</x:v>
      </x:c>
    </x:row>
    <x:row r="44" ht="19.5" customHeight="1">
      <x:c r="A44" s="12" t="str">
        <x:v>formal:2026-08-20:603993.SH:selected</x:v>
      </x:c>
      <x:c r="B44" s="17" t="n">
        <x:v>46255</x:v>
      </x:c>
      <x:c r="C44" s="12" t="str">
        <x:v>603993.SH</x:v>
      </x:c>
      <x:c r="D44" s="12" t="str">
        <x:v>洛阳钼业</x:v>
      </x:c>
      <x:c r="E44" s="17" t="n">
        <x:v>46260</x:v>
      </x:c>
      <x:c r="F44" s="23" t="n">
        <x:v>4</x:v>
      </x:c>
      <x:c r="G44" s="12" t="str">
        <x:v>available</x:v>
      </x:c>
      <x:c r="H44" s="31" t="n">
        <x:v>18.56</x:v>
      </x:c>
      <x:c r="I44" s="31" t="n">
        <x:v>19.99</x:v>
      </x:c>
      <x:c r="J44" s="31" t="n">
        <x:v>18.56</x:v>
      </x:c>
      <x:c r="K44" s="31" t="n">
        <x:v>19.59</x:v>
      </x:c>
      <x:c r="L44" s="28" t="n">
        <x:v>0.063518</x:v>
      </x:c>
      <x:c r="M44" s="34" t="n">
        <x:v>466911944.00000006</x:v>
      </x:c>
      <x:c r="N44" s="34" t="n">
        <x:v>9082612405</x:v>
      </x:c>
      <x:c r="O44" s="28" t="n">
        <x:v>0.06525285481239806</x:v>
      </x:c>
      <x:c r="P44" s="28" t="n">
        <x:v>0.06525285481239806</x:v>
      </x:c>
      <x:c r="Q44" s="28" t="n">
        <x:v>0.08700380641653083</x:v>
      </x:c>
      <x:c r="R44" s="28" t="n">
        <x:v>-0.011419249592169667</x:v>
      </x:c>
      <x:c r="S44" s="28" t="n">
        <x:v>0</x:v>
      </x:c>
    </x:row>
    <x:row r="45" ht="19.5" customHeight="1">
      <x:c r="A45" s="14" t="str">
        <x:v>formal:2026-08-20:603993.SH:selected</x:v>
      </x:c>
      <x:c r="B45" s="18" t="n">
        <x:v>46255</x:v>
      </x:c>
      <x:c r="C45" s="14" t="str">
        <x:v>603993.SH</x:v>
      </x:c>
      <x:c r="D45" s="14" t="str">
        <x:v>洛阳钼业</x:v>
      </x:c>
      <x:c r="E45" s="18" t="n">
        <x:v>46261</x:v>
      </x:c>
      <x:c r="F45" s="24" t="n">
        <x:v>5</x:v>
      </x:c>
      <x:c r="G45" s="14" t="str">
        <x:v>available</x:v>
      </x:c>
      <x:c r="H45" s="32" t="n">
        <x:v>19.23</x:v>
      </x:c>
      <x:c r="I45" s="32" t="n">
        <x:v>19.63</x:v>
      </x:c>
      <x:c r="J45" s="32" t="n">
        <x:v>19.15</x:v>
      </x:c>
      <x:c r="K45" s="32" t="n">
        <x:v>19.51</x:v>
      </x:c>
      <x:c r="L45" s="29" t="n">
        <x:v>-0.004084</x:v>
      </x:c>
      <x:c r="M45" s="35" t="n">
        <x:v>258420874.00000003</x:v>
      </x:c>
      <x:c r="N45" s="35" t="n">
        <x:v>5003965615</x:v>
      </x:c>
      <x:c r="O45" s="29" t="n">
        <x:v>0.060902664491571556</x:v>
      </x:c>
      <x:c r="P45" s="29" t="n">
        <x:v>0.06525285481239806</x:v>
      </x:c>
      <x:c r="Q45" s="29" t="n">
        <x:v>0.08700380641653083</x:v>
      </x:c>
      <x:c r="R45" s="29" t="n">
        <x:v>-0.011419249592169667</x:v>
      </x:c>
      <x:c r="S45" s="29" t="n">
        <x:v>-0.0040837161817253165</x:v>
      </x:c>
    </x:row>
    <x:row r="46" ht="19.5" customHeight="1">
      <x:c r="A46" s="12" t="str">
        <x:v>formal:2026-08-20:603993.SH:selected</x:v>
      </x:c>
      <x:c r="B46" s="17" t="n">
        <x:v>46255</x:v>
      </x:c>
      <x:c r="C46" s="12" t="str">
        <x:v>603993.SH</x:v>
      </x:c>
      <x:c r="D46" s="12" t="str">
        <x:v>洛阳钼业</x:v>
      </x:c>
      <x:c r="E46" s="17" t="n">
        <x:v>46262</x:v>
      </x:c>
      <x:c r="F46" s="23" t="n">
        <x:v>6</x:v>
      </x:c>
      <x:c r="G46" s="12" t="str">
        <x:v>available</x:v>
      </x:c>
      <x:c r="H46" s="31" t="n">
        <x:v>19.5</x:v>
      </x:c>
      <x:c r="I46" s="31" t="n">
        <x:v>19.73</x:v>
      </x:c>
      <x:c r="J46" s="31" t="n">
        <x:v>19.11</x:v>
      </x:c>
      <x:c r="K46" s="31" t="n">
        <x:v>19.51</x:v>
      </x:c>
      <x:c r="L46" s="28" t="n">
        <x:v>0</x:v>
      </x:c>
      <x:c r="M46" s="34" t="n">
        <x:v>186902155</x:v>
      </x:c>
      <x:c r="N46" s="34" t="n">
        <x:v>3629095914</x:v>
      </x:c>
      <x:c r="O46" s="28" t="n">
        <x:v>0.060902664491571556</x:v>
      </x:c>
      <x:c r="P46" s="28" t="n">
        <x:v>0.06525285481239806</x:v>
      </x:c>
      <x:c r="Q46" s="28" t="n">
        <x:v>0.08700380641653083</x:v>
      </x:c>
      <x:c r="R46" s="28" t="n">
        <x:v>-0.011419249592169667</x:v>
      </x:c>
      <x:c r="S46" s="28" t="n">
        <x:v>-0.0040837161817253165</x:v>
      </x:c>
    </x:row>
    <x:row r="47" ht="19.5" customHeight="1">
      <x:c r="A47" s="14" t="str">
        <x:v>formal:2026-08-20:603993.SH:selected</x:v>
      </x:c>
      <x:c r="B47" s="18" t="n">
        <x:v>46255</x:v>
      </x:c>
      <x:c r="C47" s="14" t="str">
        <x:v>603993.SH</x:v>
      </x:c>
      <x:c r="D47" s="14" t="str">
        <x:v>洛阳钼业</x:v>
      </x:c>
      <x:c r="E47" s="18" t="n">
        <x:v>46265</x:v>
      </x:c>
      <x:c r="F47" s="24" t="n">
        <x:v>7</x:v>
      </x:c>
      <x:c r="G47" s="14" t="str">
        <x:v>available</x:v>
      </x:c>
      <x:c r="H47" s="32" t="n">
        <x:v>18.88</x:v>
      </x:c>
      <x:c r="I47" s="32" t="n">
        <x:v>19.1</x:v>
      </x:c>
      <x:c r="J47" s="32" t="n">
        <x:v>18.45</x:v>
      </x:c>
      <x:c r="K47" s="32" t="n">
        <x:v>19.06</x:v>
      </x:c>
      <x:c r="L47" s="29" t="n">
        <x:v>-0.023065000000000002</x:v>
      </x:c>
      <x:c r="M47" s="35" t="n">
        <x:v>199380295</x:v>
      </x:c>
      <x:c r="N47" s="35" t="n">
        <x:v>3746587199</x:v>
      </x:c>
      <x:c r="O47" s="29" t="n">
        <x:v>0.036432843936922144</x:v>
      </x:c>
      <x:c r="P47" s="29" t="n">
        <x:v>0.06525285481239806</x:v>
      </x:c>
      <x:c r="Q47" s="29" t="n">
        <x:v>0.08700380641653083</x:v>
      </x:c>
      <x:c r="R47" s="29" t="n">
        <x:v>-0.011419249592169667</x:v>
      </x:c>
      <x:c r="S47" s="29" t="n">
        <x:v>-0.027054619703930638</x:v>
      </x:c>
    </x:row>
    <x:row r="48" ht="19.5" customHeight="1">
      <x:c r="A48" s="12" t="str">
        <x:v>formal:2026-08-20:603969.SH:selected</x:v>
      </x:c>
      <x:c r="B48" s="17" t="n">
        <x:v>46255</x:v>
      </x:c>
      <x:c r="C48" s="12" t="str">
        <x:v>603969.SH</x:v>
      </x:c>
      <x:c r="D48" s="12" t="str">
        <x:v>银龙股份</x:v>
      </x:c>
      <x:c r="E48" s="17" t="n">
        <x:v>46255</x:v>
      </x:c>
      <x:c r="F48" s="23" t="n">
        <x:v>1</x:v>
      </x:c>
      <x:c r="G48" s="12" t="str">
        <x:v>available</x:v>
      </x:c>
      <x:c r="H48" s="31" t="n">
        <x:v>7.19</x:v>
      </x:c>
      <x:c r="I48" s="31" t="n">
        <x:v>7.47</x:v>
      </x:c>
      <x:c r="J48" s="31" t="n">
        <x:v>7.16</x:v>
      </x:c>
      <x:c r="K48" s="31" t="n">
        <x:v>7.3</x:v>
      </x:c>
      <x:c r="L48" s="28" t="n">
        <x:v>0.009682</x:v>
      </x:c>
      <x:c r="M48" s="34" t="n">
        <x:v>19522674</x:v>
      </x:c>
      <x:c r="N48" s="34" t="n">
        <x:v>143464080</x:v>
      </x:c>
      <x:c r="O48" s="28" t="n">
        <x:v>0.015299026425590778</x:v>
      </x:c>
      <x:c r="P48" s="28" t="n">
        <x:v>0.015299026425590778</x:v>
      </x:c>
      <x:c r="Q48" s="28" t="n">
        <x:v>0.03894297635604982</x:v>
      </x:c>
      <x:c r="R48" s="28" t="n">
        <x:v>-0.00417246175243402</x:v>
      </x:c>
      <x:c r="S48" s="28" t="n">
        <x:v>0</x:v>
      </x:c>
    </x:row>
    <x:row r="49" ht="19.5" customHeight="1">
      <x:c r="A49" s="14" t="str">
        <x:v>formal:2026-08-20:603969.SH:selected</x:v>
      </x:c>
      <x:c r="B49" s="18" t="n">
        <x:v>46255</x:v>
      </x:c>
      <x:c r="C49" s="14" t="str">
        <x:v>603969.SH</x:v>
      </x:c>
      <x:c r="D49" s="14" t="str">
        <x:v>银龙股份</x:v>
      </x:c>
      <x:c r="E49" s="18" t="n">
        <x:v>46258</x:v>
      </x:c>
      <x:c r="F49" s="24" t="n">
        <x:v>2</x:v>
      </x:c>
      <x:c r="G49" s="14" t="str">
        <x:v>available</x:v>
      </x:c>
      <x:c r="H49" s="32" t="n">
        <x:v>7.32</x:v>
      </x:c>
      <x:c r="I49" s="32" t="n">
        <x:v>7.34</x:v>
      </x:c>
      <x:c r="J49" s="32" t="n">
        <x:v>7.08</x:v>
      </x:c>
      <x:c r="K49" s="32" t="n">
        <x:v>7.1</x:v>
      </x:c>
      <x:c r="L49" s="29" t="n">
        <x:v>-0.027397</x:v>
      </x:c>
      <x:c r="M49" s="35" t="n">
        <x:v>17885769</x:v>
      </x:c>
      <x:c r="N49" s="35" t="n">
        <x:v>128132979</x:v>
      </x:c>
      <x:c r="O49" s="29" t="n">
        <x:v>-0.01251738525730195</x:v>
      </x:c>
      <x:c r="P49" s="29" t="n">
        <x:v>0.015299026425590778</x:v>
      </x:c>
      <x:c r="Q49" s="29" t="n">
        <x:v>0.03894297635604982</x:v>
      </x:c>
      <x:c r="R49" s="29" t="n">
        <x:v>-0.015299026425591222</x:v>
      </x:c>
      <x:c r="S49" s="29" t="n">
        <x:v>-0.02739726027397249</x:v>
      </x:c>
    </x:row>
    <x:row r="50" ht="19.5" customHeight="1">
      <x:c r="A50" s="12" t="str">
        <x:v>formal:2026-08-20:603969.SH:selected</x:v>
      </x:c>
      <x:c r="B50" s="17" t="n">
        <x:v>46255</x:v>
      </x:c>
      <x:c r="C50" s="12" t="str">
        <x:v>603969.SH</x:v>
      </x:c>
      <x:c r="D50" s="12" t="str">
        <x:v>银龙股份</x:v>
      </x:c>
      <x:c r="E50" s="17" t="n">
        <x:v>46259</x:v>
      </x:c>
      <x:c r="F50" s="23" t="n">
        <x:v>3</x:v>
      </x:c>
      <x:c r="G50" s="12" t="str">
        <x:v>available</x:v>
      </x:c>
      <x:c r="H50" s="31" t="n">
        <x:v>7.06</x:v>
      </x:c>
      <x:c r="I50" s="31" t="n">
        <x:v>7.59</x:v>
      </x:c>
      <x:c r="J50" s="31" t="n">
        <x:v>7.05</x:v>
      </x:c>
      <x:c r="K50" s="31" t="n">
        <x:v>7.37</x:v>
      </x:c>
      <x:c r="L50" s="28" t="n">
        <x:v>0.038028</x:v>
      </x:c>
      <x:c r="M50" s="34" t="n">
        <x:v>33300994</x:v>
      </x:c>
      <x:c r="N50" s="34" t="n">
        <x:v>245429035</x:v>
      </x:c>
      <x:c r="O50" s="28" t="n">
        <x:v>0.025034770514603455</x:v>
      </x:c>
      <x:c r="P50" s="28" t="n">
        <x:v>0.025034770514603455</x:v>
      </x:c>
      <x:c r="Q50" s="28" t="n">
        <x:v>0.05563282336578568</x:v>
      </x:c>
      <x:c r="R50" s="28" t="n">
        <x:v>-0.019471488178025242</x:v>
      </x:c>
      <x:c r="S50" s="28" t="n">
        <x:v>0</x:v>
      </x:c>
    </x:row>
    <x:row r="51" ht="19.5" customHeight="1">
      <x:c r="A51" s="14" t="str">
        <x:v>formal:2026-08-20:603969.SH:selected</x:v>
      </x:c>
      <x:c r="B51" s="18" t="n">
        <x:v>46255</x:v>
      </x:c>
      <x:c r="C51" s="14" t="str">
        <x:v>603969.SH</x:v>
      </x:c>
      <x:c r="D51" s="14" t="str">
        <x:v>银龙股份</x:v>
      </x:c>
      <x:c r="E51" s="18" t="n">
        <x:v>46260</x:v>
      </x:c>
      <x:c r="F51" s="24" t="n">
        <x:v>4</x:v>
      </x:c>
      <x:c r="G51" s="14" t="str">
        <x:v>available</x:v>
      </x:c>
      <x:c r="H51" s="32" t="n">
        <x:v>7.42</x:v>
      </x:c>
      <x:c r="I51" s="32" t="n">
        <x:v>7.68</x:v>
      </x:c>
      <x:c r="J51" s="32" t="n">
        <x:v>7.34</x:v>
      </x:c>
      <x:c r="K51" s="32" t="n">
        <x:v>7.6</x:v>
      </x:c>
      <x:c r="L51" s="29" t="n">
        <x:v>0.031208</x:v>
      </x:c>
      <x:c r="M51" s="35" t="n">
        <x:v>24766117</x:v>
      </x:c>
      <x:c r="N51" s="35" t="n">
        <x:v>186001269</x:v>
      </x:c>
      <x:c r="O51" s="29" t="n">
        <x:v>0.057023643949930314</x:v>
      </x:c>
      <x:c r="P51" s="29" t="n">
        <x:v>0.057023643949930314</x:v>
      </x:c>
      <x:c r="Q51" s="29" t="n">
        <x:v>0.0681502086230874</x:v>
      </x:c>
      <x:c r="R51" s="29" t="n">
        <x:v>-0.019471488178025242</x:v>
      </x:c>
      <x:c r="S51" s="29" t="n">
        <x:v>0</x:v>
      </x:c>
    </x:row>
    <x:row r="52" ht="19.5" customHeight="1">
      <x:c r="A52" s="12" t="str">
        <x:v>formal:2026-08-20:603969.SH:selected</x:v>
      </x:c>
      <x:c r="B52" s="17" t="n">
        <x:v>46255</x:v>
      </x:c>
      <x:c r="C52" s="12" t="str">
        <x:v>603969.SH</x:v>
      </x:c>
      <x:c r="D52" s="12" t="str">
        <x:v>银龙股份</x:v>
      </x:c>
      <x:c r="E52" s="17" t="n">
        <x:v>46261</x:v>
      </x:c>
      <x:c r="F52" s="23" t="n">
        <x:v>5</x:v>
      </x:c>
      <x:c r="G52" s="12" t="str">
        <x:v>available</x:v>
      </x:c>
      <x:c r="H52" s="31" t="n">
        <x:v>7.59</x:v>
      </x:c>
      <x:c r="I52" s="31" t="n">
        <x:v>7.62</x:v>
      </x:c>
      <x:c r="J52" s="31" t="n">
        <x:v>7.51</x:v>
      </x:c>
      <x:c r="K52" s="31" t="n">
        <x:v>7.57</x:v>
      </x:c>
      <x:c r="L52" s="28" t="n">
        <x:v>-0.003947</x:v>
      </x:c>
      <x:c r="M52" s="34" t="n">
        <x:v>13625298.000000002</x:v>
      </x:c>
      <x:c r="N52" s="34" t="n">
        <x:v>103075525</x:v>
      </x:c>
      <x:c r="O52" s="28" t="n">
        <x:v>0.052851182197496405</x:v>
      </x:c>
      <x:c r="P52" s="28" t="n">
        <x:v>0.057023643949930314</x:v>
      </x:c>
      <x:c r="Q52" s="28" t="n">
        <x:v>0.0681502086230874</x:v>
      </x:c>
      <x:c r="R52" s="28" t="n">
        <x:v>-0.019471488178025242</x:v>
      </x:c>
      <x:c r="S52" s="28" t="n">
        <x:v>-0.003947368421052588</x:v>
      </x:c>
    </x:row>
    <x:row r="53" ht="19.5" customHeight="1">
      <x:c r="A53" s="14" t="str">
        <x:v>formal:2026-08-20:603969.SH:selected</x:v>
      </x:c>
      <x:c r="B53" s="18" t="n">
        <x:v>46255</x:v>
      </x:c>
      <x:c r="C53" s="14" t="str">
        <x:v>603969.SH</x:v>
      </x:c>
      <x:c r="D53" s="14" t="str">
        <x:v>银龙股份</x:v>
      </x:c>
      <x:c r="E53" s="18" t="n">
        <x:v>46262</x:v>
      </x:c>
      <x:c r="F53" s="24" t="n">
        <x:v>6</x:v>
      </x:c>
      <x:c r="G53" s="14" t="str">
        <x:v>available</x:v>
      </x:c>
      <x:c r="H53" s="32" t="n">
        <x:v>7.68</x:v>
      </x:c>
      <x:c r="I53" s="32" t="n">
        <x:v>7.82</x:v>
      </x:c>
      <x:c r="J53" s="32" t="n">
        <x:v>7.54</x:v>
      </x:c>
      <x:c r="K53" s="32" t="n">
        <x:v>7.71</x:v>
      </x:c>
      <x:c r="L53" s="29" t="n">
        <x:v>0.018494</x:v>
      </x:c>
      <x:c r="M53" s="35" t="n">
        <x:v>17103465</x:v>
      </x:c>
      <x:c r="N53" s="35" t="n">
        <x:v>132072013</x:v>
      </x:c>
      <x:c r="O53" s="29" t="n">
        <x:v>0.07232267037552131</x:v>
      </x:c>
      <x:c r="P53" s="29" t="n">
        <x:v>0.07232267037552131</x:v>
      </x:c>
      <x:c r="Q53" s="29" t="n">
        <x:v>0.08762169680111254</x:v>
      </x:c>
      <x:c r="R53" s="29" t="n">
        <x:v>-0.019471488178025242</x:v>
      </x:c>
      <x:c r="S53" s="29" t="n">
        <x:v>0</x:v>
      </x:c>
    </x:row>
    <x:row r="54" ht="19.5" customHeight="1">
      <x:c r="A54" s="12" t="str">
        <x:v>formal:2026-08-20:603969.SH:selected</x:v>
      </x:c>
      <x:c r="B54" s="17" t="n">
        <x:v>46255</x:v>
      </x:c>
      <x:c r="C54" s="12" t="str">
        <x:v>603969.SH</x:v>
      </x:c>
      <x:c r="D54" s="12" t="str">
        <x:v>银龙股份</x:v>
      </x:c>
      <x:c r="E54" s="17" t="n">
        <x:v>46265</x:v>
      </x:c>
      <x:c r="F54" s="23" t="n">
        <x:v>7</x:v>
      </x:c>
      <x:c r="G54" s="12" t="str">
        <x:v>available</x:v>
      </x:c>
      <x:c r="H54" s="31" t="n">
        <x:v>7.73</x:v>
      </x:c>
      <x:c r="I54" s="31" t="n">
        <x:v>7.79</x:v>
      </x:c>
      <x:c r="J54" s="31" t="n">
        <x:v>7.66</x:v>
      </x:c>
      <x:c r="K54" s="31" t="n">
        <x:v>7.76</x:v>
      </x:c>
      <x:c r="L54" s="28" t="n">
        <x:v>0.0064849999999999994</x:v>
      </x:c>
      <x:c r="M54" s="34" t="n">
        <x:v>10600495</x:v>
      </x:c>
      <x:c r="N54" s="34" t="n">
        <x:v>81963890</x:v>
      </x:c>
      <x:c r="O54" s="28" t="n">
        <x:v>0.07927677329624472</x:v>
      </x:c>
      <x:c r="P54" s="28" t="n">
        <x:v>0.07927677329624472</x:v>
      </x:c>
      <x:c r="Q54" s="28" t="n">
        <x:v>0.08762169680111254</x:v>
      </x:c>
      <x:c r="R54" s="28" t="n">
        <x:v>-0.019471488178025242</x:v>
      </x:c>
      <x:c r="S54" s="28" t="n">
        <x:v>0</x:v>
      </x:c>
    </x:row>
    <x:row r="55" ht="19.5" customHeight="1">
      <x:c r="A55" s="14" t="str">
        <x:v>formal:2026-08-20:600737.SH:selected</x:v>
      </x:c>
      <x:c r="B55" s="18" t="n">
        <x:v>46255</x:v>
      </x:c>
      <x:c r="C55" s="14" t="str">
        <x:v>600737.SH</x:v>
      </x:c>
      <x:c r="D55" s="14" t="str">
        <x:v>中粮糖业</x:v>
      </x:c>
      <x:c r="E55" s="18" t="n">
        <x:v>46255</x:v>
      </x:c>
      <x:c r="F55" s="24" t="n">
        <x:v>1</x:v>
      </x:c>
      <x:c r="G55" s="14" t="str">
        <x:v>available</x:v>
      </x:c>
      <x:c r="H55" s="32" t="n">
        <x:v>15.41</x:v>
      </x:c>
      <x:c r="I55" s="32" t="n">
        <x:v>15.5</x:v>
      </x:c>
      <x:c r="J55" s="32" t="n">
        <x:v>14.43</x:v>
      </x:c>
      <x:c r="K55" s="32" t="n">
        <x:v>14.56</x:v>
      </x:c>
      <x:c r="L55" s="29" t="n">
        <x:v>-0.081388</x:v>
      </x:c>
      <x:c r="M55" s="35" t="n">
        <x:v>102973376</x:v>
      </x:c>
      <x:c r="N55" s="35" t="n">
        <x:v>1517422100</x:v>
      </x:c>
      <x:c r="O55" s="29" t="n">
        <x:v>-0.05515898767034377</x:v>
      </x:c>
      <x:c r="P55" s="29" t="n">
        <x:v>-0.05515898767034377</x:v>
      </x:c>
      <x:c r="Q55" s="29" t="n">
        <x:v>0.005840363400389403</x:v>
      </x:c>
      <x:c r="R55" s="29" t="n">
        <x:v>-0.06359506813757299</x:v>
      </x:c>
      <x:c r="S55" s="29" t="n">
        <x:v>0</x:v>
      </x:c>
    </x:row>
    <x:row r="56" ht="19.5" customHeight="1">
      <x:c r="A56" s="12" t="str">
        <x:v>formal:2026-08-20:600737.SH:selected</x:v>
      </x:c>
      <x:c r="B56" s="17" t="n">
        <x:v>46255</x:v>
      </x:c>
      <x:c r="C56" s="12" t="str">
        <x:v>600737.SH</x:v>
      </x:c>
      <x:c r="D56" s="12" t="str">
        <x:v>中粮糖业</x:v>
      </x:c>
      <x:c r="E56" s="17" t="n">
        <x:v>46258</x:v>
      </x:c>
      <x:c r="F56" s="23" t="n">
        <x:v>2</x:v>
      </x:c>
      <x:c r="G56" s="12" t="str">
        <x:v>available</x:v>
      </x:c>
      <x:c r="H56" s="31" t="n">
        <x:v>14.77</x:v>
      </x:c>
      <x:c r="I56" s="31" t="n">
        <x:v>15.22</x:v>
      </x:c>
      <x:c r="J56" s="31" t="n">
        <x:v>14.38</x:v>
      </x:c>
      <x:c r="K56" s="31" t="n">
        <x:v>14.54</x:v>
      </x:c>
      <x:c r="L56" s="28" t="n">
        <x:v>-0.001374</x:v>
      </x:c>
      <x:c r="M56" s="34" t="n">
        <x:v>77068612</x:v>
      </x:c>
      <x:c r="N56" s="34" t="n">
        <x:v>1141894021</x:v>
      </x:c>
      <x:c r="O56" s="28" t="n">
        <x:v>-0.05645684620376379</x:v>
      </x:c>
      <x:c r="P56" s="28" t="n">
        <x:v>-0.05515898767034377</x:v>
      </x:c>
      <x:c r="Q56" s="28" t="n">
        <x:v>0.005840363400389403</x:v>
      </x:c>
      <x:c r="R56" s="28" t="n">
        <x:v>-0.06683971447112258</x:v>
      </x:c>
      <x:c r="S56" s="28" t="n">
        <x:v>-0.0013736263736265908</x:v>
      </x:c>
    </x:row>
    <x:row r="57" ht="19.5" customHeight="1">
      <x:c r="A57" s="14" t="str">
        <x:v>formal:2026-08-20:600737.SH:selected</x:v>
      </x:c>
      <x:c r="B57" s="18" t="n">
        <x:v>46255</x:v>
      </x:c>
      <x:c r="C57" s="14" t="str">
        <x:v>600737.SH</x:v>
      </x:c>
      <x:c r="D57" s="14" t="str">
        <x:v>中粮糖业</x:v>
      </x:c>
      <x:c r="E57" s="18" t="n">
        <x:v>46259</x:v>
      </x:c>
      <x:c r="F57" s="24" t="n">
        <x:v>3</x:v>
      </x:c>
      <x:c r="G57" s="14" t="str">
        <x:v>available</x:v>
      </x:c>
      <x:c r="H57" s="32" t="n">
        <x:v>14.21</x:v>
      </x:c>
      <x:c r="I57" s="32" t="n">
        <x:v>15.4</x:v>
      </x:c>
      <x:c r="J57" s="32" t="n">
        <x:v>14.21</x:v>
      </x:c>
      <x:c r="K57" s="32" t="n">
        <x:v>14.74</x:v>
      </x:c>
      <x:c r="L57" s="29" t="n">
        <x:v>0.013755</x:v>
      </x:c>
      <x:c r="M57" s="35" t="n">
        <x:v>84240377</x:v>
      </x:c>
      <x:c r="N57" s="35" t="n">
        <x:v>1257727802</x:v>
      </x:c>
      <x:c r="O57" s="29" t="n">
        <x:v>-0.04347826086956519</x:v>
      </x:c>
      <x:c r="P57" s="29" t="n">
        <x:v>-0.04347826086956519</x:v>
      </x:c>
      <x:c r="Q57" s="29" t="n">
        <x:v>0.005840363400389403</x:v>
      </x:c>
      <x:c r="R57" s="29" t="n">
        <x:v>-0.07787151200519127</x:v>
      </x:c>
      <x:c r="S57" s="29" t="n">
        <x:v>0</x:v>
      </x:c>
    </x:row>
    <x:row r="58" ht="19.5" customHeight="1">
      <x:c r="A58" s="12" t="str">
        <x:v>formal:2026-08-20:600737.SH:selected</x:v>
      </x:c>
      <x:c r="B58" s="17" t="n">
        <x:v>46255</x:v>
      </x:c>
      <x:c r="C58" s="12" t="str">
        <x:v>600737.SH</x:v>
      </x:c>
      <x:c r="D58" s="12" t="str">
        <x:v>中粮糖业</x:v>
      </x:c>
      <x:c r="E58" s="17" t="n">
        <x:v>46260</x:v>
      </x:c>
      <x:c r="F58" s="23" t="n">
        <x:v>4</x:v>
      </x:c>
      <x:c r="G58" s="12" t="str">
        <x:v>available</x:v>
      </x:c>
      <x:c r="H58" s="31" t="n">
        <x:v>14.29</x:v>
      </x:c>
      <x:c r="I58" s="31" t="n">
        <x:v>14.8</x:v>
      </x:c>
      <x:c r="J58" s="31" t="n">
        <x:v>14.29</x:v>
      </x:c>
      <x:c r="K58" s="31" t="n">
        <x:v>14.55</x:v>
      </x:c>
      <x:c r="L58" s="28" t="n">
        <x:v>-0.012889999999999999</x:v>
      </x:c>
      <x:c r="M58" s="34" t="n">
        <x:v>60568818.99999999</x:v>
      </x:c>
      <x:c r="N58" s="34" t="n">
        <x:v>883543488</x:v>
      </x:c>
      <x:c r="O58" s="28" t="n">
        <x:v>-0.05580791693705378</x:v>
      </x:c>
      <x:c r="P58" s="28" t="n">
        <x:v>-0.04347826086956519</x:v>
      </x:c>
      <x:c r="Q58" s="28" t="n">
        <x:v>0.005840363400389403</x:v>
      </x:c>
      <x:c r="R58" s="28" t="n">
        <x:v>-0.07787151200519127</x:v>
      </x:c>
      <x:c r="S58" s="28" t="n">
        <x:v>-0.012890094979647215</x:v>
      </x:c>
    </x:row>
    <x:row r="59" ht="19.5" customHeight="1">
      <x:c r="A59" s="14" t="str">
        <x:v>formal:2026-08-20:600737.SH:selected</x:v>
      </x:c>
      <x:c r="B59" s="18" t="n">
        <x:v>46255</x:v>
      </x:c>
      <x:c r="C59" s="14" t="str">
        <x:v>600737.SH</x:v>
      </x:c>
      <x:c r="D59" s="14" t="str">
        <x:v>中粮糖业</x:v>
      </x:c>
      <x:c r="E59" s="18" t="n">
        <x:v>46261</x:v>
      </x:c>
      <x:c r="F59" s="24" t="n">
        <x:v>5</x:v>
      </x:c>
      <x:c r="G59" s="14" t="str">
        <x:v>available</x:v>
      </x:c>
      <x:c r="H59" s="32" t="n">
        <x:v>14.8</x:v>
      </x:c>
      <x:c r="I59" s="32" t="n">
        <x:v>15.75</x:v>
      </x:c>
      <x:c r="J59" s="32" t="n">
        <x:v>14.77</x:v>
      </x:c>
      <x:c r="K59" s="32" t="n">
        <x:v>15.33</x:v>
      </x:c>
      <x:c r="L59" s="29" t="n">
        <x:v>0.053608</x:v>
      </x:c>
      <x:c r="M59" s="35" t="n">
        <x:v>98247632</x:v>
      </x:c>
      <x:c r="N59" s="35" t="n">
        <x:v>1488675586</x:v>
      </x:c>
      <x:c r="O59" s="29" t="n">
        <x:v>-0.005191434133679396</x:v>
      </x:c>
      <x:c r="P59" s="29" t="n">
        <x:v>-0.005191434133679396</x:v>
      </x:c>
      <x:c r="Q59" s="29" t="n">
        <x:v>0.022063595068137598</x:v>
      </x:c>
      <x:c r="R59" s="29" t="n">
        <x:v>-0.07787151200519127</x:v>
      </x:c>
      <x:c r="S59" s="29" t="n">
        <x:v>0</x:v>
      </x:c>
    </x:row>
    <x:row r="60" ht="19.5" customHeight="1">
      <x:c r="A60" s="12" t="str">
        <x:v>formal:2026-08-20:600737.SH:selected</x:v>
      </x:c>
      <x:c r="B60" s="17" t="n">
        <x:v>46255</x:v>
      </x:c>
      <x:c r="C60" s="12" t="str">
        <x:v>600737.SH</x:v>
      </x:c>
      <x:c r="D60" s="12" t="str">
        <x:v>中粮糖业</x:v>
      </x:c>
      <x:c r="E60" s="17" t="n">
        <x:v>46262</x:v>
      </x:c>
      <x:c r="F60" s="23" t="n">
        <x:v>6</x:v>
      </x:c>
      <x:c r="G60" s="12" t="str">
        <x:v>available</x:v>
      </x:c>
      <x:c r="H60" s="31" t="n">
        <x:v>16.09</x:v>
      </x:c>
      <x:c r="I60" s="31" t="n">
        <x:v>16.5</x:v>
      </x:c>
      <x:c r="J60" s="31" t="n">
        <x:v>15.86</x:v>
      </x:c>
      <x:c r="K60" s="31" t="n">
        <x:v>16.03</x:v>
      </x:c>
      <x:c r="L60" s="28" t="n">
        <x:v>0.045662</x:v>
      </x:c>
      <x:c r="M60" s="34" t="n">
        <x:v>112848771</x:v>
      </x:c>
      <x:c r="N60" s="34" t="n">
        <x:v>1825970002</x:v>
      </x:c>
      <x:c r="O60" s="28" t="n">
        <x:v>0.040233614536015816</x:v>
      </x:c>
      <x:c r="P60" s="28" t="n">
        <x:v>0.040233614536015816</x:v>
      </x:c>
      <x:c r="Q60" s="28" t="n">
        <x:v>0.07073329007138218</x:v>
      </x:c>
      <x:c r="R60" s="28" t="n">
        <x:v>-0.07787151200519127</x:v>
      </x:c>
      <x:c r="S60" s="28" t="n">
        <x:v>0</x:v>
      </x:c>
    </x:row>
    <x:row r="61" ht="19.5" customHeight="1">
      <x:c r="A61" s="14" t="str">
        <x:v>formal:2026-08-20:600737.SH:selected</x:v>
      </x:c>
      <x:c r="B61" s="18" t="n">
        <x:v>46255</x:v>
      </x:c>
      <x:c r="C61" s="14" t="str">
        <x:v>600737.SH</x:v>
      </x:c>
      <x:c r="D61" s="14" t="str">
        <x:v>中粮糖业</x:v>
      </x:c>
      <x:c r="E61" s="18" t="n">
        <x:v>46265</x:v>
      </x:c>
      <x:c r="F61" s="24" t="n">
        <x:v>7</x:v>
      </x:c>
      <x:c r="G61" s="14" t="str">
        <x:v>available</x:v>
      </x:c>
      <x:c r="H61" s="32" t="n">
        <x:v>16.03</x:v>
      </x:c>
      <x:c r="I61" s="32" t="n">
        <x:v>16.03</x:v>
      </x:c>
      <x:c r="J61" s="32" t="n">
        <x:v>14.81</x:v>
      </x:c>
      <x:c r="K61" s="32" t="n">
        <x:v>15.04</x:v>
      </x:c>
      <x:c r="L61" s="29" t="n">
        <x:v>-0.061759</x:v>
      </x:c>
      <x:c r="M61" s="35" t="n">
        <x:v>109128847</x:v>
      </x:c>
      <x:c r="N61" s="35" t="n">
        <x:v>1673202820</x:v>
      </x:c>
      <x:c r="O61" s="29" t="n">
        <x:v>-0.0240103828682674</x:v>
      </x:c>
      <x:c r="P61" s="29" t="n">
        <x:v>0.040233614536015816</x:v>
      </x:c>
      <x:c r="Q61" s="29" t="n">
        <x:v>0.07073329007138218</x:v>
      </x:c>
      <x:c r="R61" s="29" t="n">
        <x:v>-0.07787151200519127</x:v>
      </x:c>
      <x:c r="S61" s="29" t="n">
        <x:v>-0.06175920149719305</x:v>
      </x:c>
    </x:row>
    <x:row r="62" ht="19.5" customHeight="1">
      <x:c r="A62" s="12" t="str">
        <x:v>formal:2026-08-21:600583.SH:selected</x:v>
      </x:c>
      <x:c r="B62" s="17" t="n">
        <x:v>46258</x:v>
      </x:c>
      <x:c r="C62" s="12" t="str">
        <x:v>600583.SH</x:v>
      </x:c>
      <x:c r="D62" s="12" t="str">
        <x:v>海油工程</x:v>
      </x:c>
      <x:c r="E62" s="17" t="n">
        <x:v>46258</x:v>
      </x:c>
      <x:c r="F62" s="23" t="n">
        <x:v>1</x:v>
      </x:c>
      <x:c r="G62" s="12" t="str">
        <x:v>available</x:v>
      </x:c>
      <x:c r="H62" s="31" t="n">
        <x:v>6</x:v>
      </x:c>
      <x:c r="I62" s="31" t="n">
        <x:v>6.12</x:v>
      </x:c>
      <x:c r="J62" s="31" t="n">
        <x:v>5.89</x:v>
      </x:c>
      <x:c r="K62" s="31" t="n">
        <x:v>6.1</x:v>
      </x:c>
      <x:c r="L62" s="28" t="n">
        <x:v>-0.0032679999999999996</x:v>
      </x:c>
      <x:c r="M62" s="34" t="n">
        <x:v>43340500</x:v>
      </x:c>
      <x:c r="N62" s="34" t="n">
        <x:v>262486718</x:v>
      </x:c>
      <x:c r="O62" s="28" t="n">
        <x:v>0.016666666666666607</x:v>
      </x:c>
      <x:c r="P62" s="28" t="n">
        <x:v>0.016666666666666607</x:v>
      </x:c>
      <x:c r="Q62" s="28" t="n">
        <x:v>0.020000000000000018</x:v>
      </x:c>
      <x:c r="R62" s="28" t="n">
        <x:v>-0.018333333333333424</x:v>
      </x:c>
      <x:c r="S62" s="28" t="n">
        <x:v>0</x:v>
      </x:c>
    </x:row>
    <x:row r="63" ht="19.5" customHeight="1">
      <x:c r="A63" s="14" t="str">
        <x:v>formal:2026-08-21:600583.SH:selected</x:v>
      </x:c>
      <x:c r="B63" s="18" t="n">
        <x:v>46258</x:v>
      </x:c>
      <x:c r="C63" s="14" t="str">
        <x:v>600583.SH</x:v>
      </x:c>
      <x:c r="D63" s="14" t="str">
        <x:v>海油工程</x:v>
      </x:c>
      <x:c r="E63" s="18" t="n">
        <x:v>46259</x:v>
      </x:c>
      <x:c r="F63" s="24" t="n">
        <x:v>2</x:v>
      </x:c>
      <x:c r="G63" s="14" t="str">
        <x:v>available</x:v>
      </x:c>
      <x:c r="H63" s="32" t="n">
        <x:v>6.07</x:v>
      </x:c>
      <x:c r="I63" s="32" t="n">
        <x:v>6.15</x:v>
      </x:c>
      <x:c r="J63" s="32" t="n">
        <x:v>6.01</x:v>
      </x:c>
      <x:c r="K63" s="32" t="n">
        <x:v>6.06</x:v>
      </x:c>
      <x:c r="L63" s="29" t="n">
        <x:v>-0.0065569999999999995</x:v>
      </x:c>
      <x:c r="M63" s="35" t="n">
        <x:v>26492706</x:v>
      </x:c>
      <x:c r="N63" s="35" t="n">
        <x:v>161007621</x:v>
      </x:c>
      <x:c r="O63" s="29" t="n">
        <x:v>0.010000000000000009</x:v>
      </x:c>
      <x:c r="P63" s="29" t="n">
        <x:v>0.016666666666666607</x:v>
      </x:c>
      <x:c r="Q63" s="29" t="n">
        <x:v>0.025000000000000133</x:v>
      </x:c>
      <x:c r="R63" s="29" t="n">
        <x:v>-0.018333333333333424</x:v>
      </x:c>
      <x:c r="S63" s="29" t="n">
        <x:v>-0.006557377049180246</x:v>
      </x:c>
    </x:row>
    <x:row r="64" ht="19.5" customHeight="1">
      <x:c r="A64" s="12" t="str">
        <x:v>formal:2026-08-21:600583.SH:selected</x:v>
      </x:c>
      <x:c r="B64" s="17" t="n">
        <x:v>46258</x:v>
      </x:c>
      <x:c r="C64" s="12" t="str">
        <x:v>600583.SH</x:v>
      </x:c>
      <x:c r="D64" s="12" t="str">
        <x:v>海油工程</x:v>
      </x:c>
      <x:c r="E64" s="17" t="n">
        <x:v>46260</x:v>
      </x:c>
      <x:c r="F64" s="23" t="n">
        <x:v>3</x:v>
      </x:c>
      <x:c r="G64" s="12" t="str">
        <x:v>available</x:v>
      </x:c>
      <x:c r="H64" s="31" t="n">
        <x:v>5.95</x:v>
      </x:c>
      <x:c r="I64" s="31" t="n">
        <x:v>6.04</x:v>
      </x:c>
      <x:c r="J64" s="31" t="n">
        <x:v>5.92</x:v>
      </x:c>
      <x:c r="K64" s="31" t="n">
        <x:v>6</x:v>
      </x:c>
      <x:c r="L64" s="28" t="n">
        <x:v>-0.009901</x:v>
      </x:c>
      <x:c r="M64" s="34" t="n">
        <x:v>33246208</x:v>
      </x:c>
      <x:c r="N64" s="34" t="n">
        <x:v>199422207</x:v>
      </x:c>
      <x:c r="O64" s="28" t="n">
        <x:v>0</x:v>
      </x:c>
      <x:c r="P64" s="28" t="n">
        <x:v>0.016666666666666607</x:v>
      </x:c>
      <x:c r="Q64" s="28" t="n">
        <x:v>0.025000000000000133</x:v>
      </x:c>
      <x:c r="R64" s="28" t="n">
        <x:v>-0.018333333333333424</x:v>
      </x:c>
      <x:c r="S64" s="28" t="n">
        <x:v>-0.016393442622950727</x:v>
      </x:c>
    </x:row>
    <x:row r="65" ht="19.5" customHeight="1">
      <x:c r="A65" s="14" t="str">
        <x:v>formal:2026-08-21:600583.SH:selected</x:v>
      </x:c>
      <x:c r="B65" s="18" t="n">
        <x:v>46258</x:v>
      </x:c>
      <x:c r="C65" s="14" t="str">
        <x:v>600583.SH</x:v>
      </x:c>
      <x:c r="D65" s="14" t="str">
        <x:v>海油工程</x:v>
      </x:c>
      <x:c r="E65" s="18" t="n">
        <x:v>46261</x:v>
      </x:c>
      <x:c r="F65" s="24" t="n">
        <x:v>4</x:v>
      </x:c>
      <x:c r="G65" s="14" t="str">
        <x:v>available</x:v>
      </x:c>
      <x:c r="H65" s="32" t="n">
        <x:v>5.99</x:v>
      </x:c>
      <x:c r="I65" s="32" t="n">
        <x:v>6.14</x:v>
      </x:c>
      <x:c r="J65" s="32" t="n">
        <x:v>5.96</x:v>
      </x:c>
      <x:c r="K65" s="32" t="n">
        <x:v>6.11</x:v>
      </x:c>
      <x:c r="L65" s="29" t="n">
        <x:v>0.018333</x:v>
      </x:c>
      <x:c r="M65" s="35" t="n">
        <x:v>30726440.999999996</x:v>
      </x:c>
      <x:c r="N65" s="35" t="n">
        <x:v>186192105</x:v>
      </x:c>
      <x:c r="O65" s="29" t="n">
        <x:v>0.018333333333333313</x:v>
      </x:c>
      <x:c r="P65" s="29" t="n">
        <x:v>0.018333333333333313</x:v>
      </x:c>
      <x:c r="Q65" s="29" t="n">
        <x:v>0.025000000000000133</x:v>
      </x:c>
      <x:c r="R65" s="29" t="n">
        <x:v>-0.018333333333333424</x:v>
      </x:c>
      <x:c r="S65" s="29" t="n">
        <x:v>0</x:v>
      </x:c>
    </x:row>
    <x:row r="66" ht="19.5" customHeight="1">
      <x:c r="A66" s="12" t="str">
        <x:v>formal:2026-08-21:600583.SH:selected</x:v>
      </x:c>
      <x:c r="B66" s="17" t="n">
        <x:v>46258</x:v>
      </x:c>
      <x:c r="C66" s="12" t="str">
        <x:v>600583.SH</x:v>
      </x:c>
      <x:c r="D66" s="12" t="str">
        <x:v>海油工程</x:v>
      </x:c>
      <x:c r="E66" s="17" t="n">
        <x:v>46262</x:v>
      </x:c>
      <x:c r="F66" s="23" t="n">
        <x:v>5</x:v>
      </x:c>
      <x:c r="G66" s="12" t="str">
        <x:v>available</x:v>
      </x:c>
      <x:c r="H66" s="31" t="n">
        <x:v>6.1</x:v>
      </x:c>
      <x:c r="I66" s="31" t="n">
        <x:v>6.19</x:v>
      </x:c>
      <x:c r="J66" s="31" t="n">
        <x:v>6.06</x:v>
      </x:c>
      <x:c r="K66" s="31" t="n">
        <x:v>6.15</x:v>
      </x:c>
      <x:c r="L66" s="28" t="n">
        <x:v>0.006547</x:v>
      </x:c>
      <x:c r="M66" s="34" t="n">
        <x:v>27326284.999999996</x:v>
      </x:c>
      <x:c r="N66" s="34" t="n">
        <x:v>167828428</x:v>
      </x:c>
      <x:c r="O66" s="28" t="n">
        <x:v>0.025000000000000133</x:v>
      </x:c>
      <x:c r="P66" s="28" t="n">
        <x:v>0.025000000000000133</x:v>
      </x:c>
      <x:c r="Q66" s="28" t="n">
        <x:v>0.03166666666666651</x:v>
      </x:c>
      <x:c r="R66" s="28" t="n">
        <x:v>-0.018333333333333424</x:v>
      </x:c>
      <x:c r="S66" s="28" t="n">
        <x:v>0</x:v>
      </x:c>
    </x:row>
    <x:row r="67" ht="19.5" customHeight="1">
      <x:c r="A67" s="14" t="str">
        <x:v>formal:2026-08-21:600583.SH:selected</x:v>
      </x:c>
      <x:c r="B67" s="18" t="n">
        <x:v>46258</x:v>
      </x:c>
      <x:c r="C67" s="14" t="str">
        <x:v>600583.SH</x:v>
      </x:c>
      <x:c r="D67" s="14" t="str">
        <x:v>海油工程</x:v>
      </x:c>
      <x:c r="E67" s="18" t="n">
        <x:v>46265</x:v>
      </x:c>
      <x:c r="F67" s="24" t="n">
        <x:v>6</x:v>
      </x:c>
      <x:c r="G67" s="14" t="str">
        <x:v>available</x:v>
      </x:c>
      <x:c r="H67" s="32" t="n">
        <x:v>6.2</x:v>
      </x:c>
      <x:c r="I67" s="32" t="n">
        <x:v>6.22</x:v>
      </x:c>
      <x:c r="J67" s="32" t="n">
        <x:v>6.11</x:v>
      </x:c>
      <x:c r="K67" s="32" t="n">
        <x:v>6.16</x:v>
      </x:c>
      <x:c r="L67" s="29" t="n">
        <x:v>0.0016259999999999998</x:v>
      </x:c>
      <x:c r="M67" s="35" t="n">
        <x:v>33071400</x:v>
      </x:c>
      <x:c r="N67" s="35" t="n">
        <x:v>203947054</x:v>
      </x:c>
      <x:c r="O67" s="29" t="n">
        <x:v>0.026666666666666616</x:v>
      </x:c>
      <x:c r="P67" s="29" t="n">
        <x:v>0.026666666666666616</x:v>
      </x:c>
      <x:c r="Q67" s="29" t="n">
        <x:v>0.0366666666666664</x:v>
      </x:c>
      <x:c r="R67" s="29" t="n">
        <x:v>-0.018333333333333424</x:v>
      </x:c>
      <x:c r="S67" s="29" t="n">
        <x:v>0</x:v>
      </x:c>
    </x:row>
    <x:row r="68" ht="19.5" customHeight="1">
      <x:c r="A68" s="12" t="str">
        <x:v>formal:2026-08-21:600980.SH:selected</x:v>
      </x:c>
      <x:c r="B68" s="17" t="n">
        <x:v>46258</x:v>
      </x:c>
      <x:c r="C68" s="12" t="str">
        <x:v>600980.SH</x:v>
      </x:c>
      <x:c r="D68" s="12" t="str">
        <x:v>北矿科技</x:v>
      </x:c>
      <x:c r="E68" s="17" t="n">
        <x:v>46258</x:v>
      </x:c>
      <x:c r="F68" s="23" t="n">
        <x:v>1</x:v>
      </x:c>
      <x:c r="G68" s="12" t="str">
        <x:v>available</x:v>
      </x:c>
      <x:c r="H68" s="31" t="n">
        <x:v>20.09</x:v>
      </x:c>
      <x:c r="I68" s="31" t="n">
        <x:v>20.29</x:v>
      </x:c>
      <x:c r="J68" s="31" t="n">
        <x:v>19.68</x:v>
      </x:c>
      <x:c r="K68" s="31" t="n">
        <x:v>19.93</x:v>
      </x:c>
      <x:c r="L68" s="28" t="n">
        <x:v>-0.004496</x:v>
      </x:c>
      <x:c r="M68" s="34" t="n">
        <x:v>2912492</x:v>
      </x:c>
      <x:c r="N68" s="34" t="n">
        <x:v>57991587</x:v>
      </x:c>
      <x:c r="O68" s="28" t="n">
        <x:v>-0.007964161274265691</x:v>
      </x:c>
      <x:c r="P68" s="28" t="n">
        <x:v>-0.007964161274265691</x:v>
      </x:c>
      <x:c r="Q68" s="28" t="n">
        <x:v>0.009955201592832141</x:v>
      </x:c>
      <x:c r="R68" s="28" t="n">
        <x:v>-0.020408163265306145</x:v>
      </x:c>
      <x:c r="S68" s="28" t="n">
        <x:v>0</x:v>
      </x:c>
    </x:row>
    <x:row r="69" ht="19.5" customHeight="1">
      <x:c r="A69" s="14" t="str">
        <x:v>formal:2026-08-21:600980.SH:selected</x:v>
      </x:c>
      <x:c r="B69" s="18" t="n">
        <x:v>46258</x:v>
      </x:c>
      <x:c r="C69" s="14" t="str">
        <x:v>600980.SH</x:v>
      </x:c>
      <x:c r="D69" s="14" t="str">
        <x:v>北矿科技</x:v>
      </x:c>
      <x:c r="E69" s="18" t="n">
        <x:v>46259</x:v>
      </x:c>
      <x:c r="F69" s="24" t="n">
        <x:v>2</x:v>
      </x:c>
      <x:c r="G69" s="14" t="str">
        <x:v>available</x:v>
      </x:c>
      <x:c r="H69" s="32" t="n">
        <x:v>19.69</x:v>
      </x:c>
      <x:c r="I69" s="32" t="n">
        <x:v>20.17</x:v>
      </x:c>
      <x:c r="J69" s="32" t="n">
        <x:v>19.6</x:v>
      </x:c>
      <x:c r="K69" s="32" t="n">
        <x:v>19.86</x:v>
      </x:c>
      <x:c r="L69" s="29" t="n">
        <x:v>-0.003512</x:v>
      </x:c>
      <x:c r="M69" s="35" t="n">
        <x:v>2145692</x:v>
      </x:c>
      <x:c r="N69" s="35" t="n">
        <x:v>42533343</x:v>
      </x:c>
      <x:c r="O69" s="29" t="n">
        <x:v>-0.011448481831756951</x:v>
      </x:c>
      <x:c r="P69" s="29" t="n">
        <x:v>-0.007964161274265691</x:v>
      </x:c>
      <x:c r="Q69" s="29" t="n">
        <x:v>0.009955201592832141</x:v>
      </x:c>
      <x:c r="R69" s="29" t="n">
        <x:v>-0.024390243902438824</x:v>
      </x:c>
      <x:c r="S69" s="29" t="n">
        <x:v>-0.00351229302558953</x:v>
      </x:c>
    </x:row>
    <x:row r="70" ht="19.5" customHeight="1">
      <x:c r="A70" s="12" t="str">
        <x:v>formal:2026-08-21:600980.SH:selected</x:v>
      </x:c>
      <x:c r="B70" s="17" t="n">
        <x:v>46258</x:v>
      </x:c>
      <x:c r="C70" s="12" t="str">
        <x:v>600980.SH</x:v>
      </x:c>
      <x:c r="D70" s="12" t="str">
        <x:v>北矿科技</x:v>
      </x:c>
      <x:c r="E70" s="17" t="n">
        <x:v>46260</x:v>
      </x:c>
      <x:c r="F70" s="23" t="n">
        <x:v>3</x:v>
      </x:c>
      <x:c r="G70" s="12" t="str">
        <x:v>available</x:v>
      </x:c>
      <x:c r="H70" s="31" t="n">
        <x:v>19.82</x:v>
      </x:c>
      <x:c r="I70" s="31" t="n">
        <x:v>20.08</x:v>
      </x:c>
      <x:c r="J70" s="31" t="n">
        <x:v>19.75</x:v>
      </x:c>
      <x:c r="K70" s="31" t="n">
        <x:v>19.75</x:v>
      </x:c>
      <x:c r="L70" s="28" t="n">
        <x:v>-0.005539</x:v>
      </x:c>
      <x:c r="M70" s="34" t="n">
        <x:v>2049541.9999999998</x:v>
      </x:c>
      <x:c r="N70" s="34" t="n">
        <x:v>40751588</x:v>
      </x:c>
      <x:c r="O70" s="28" t="n">
        <x:v>-0.016923842707814885</x:v>
      </x:c>
      <x:c r="P70" s="28" t="n">
        <x:v>-0.007964161274265691</x:v>
      </x:c>
      <x:c r="Q70" s="28" t="n">
        <x:v>0.009955201592832141</x:v>
      </x:c>
      <x:c r="R70" s="28" t="n">
        <x:v>-0.024390243902438824</x:v>
      </x:c>
      <x:c r="S70" s="28" t="n">
        <x:v>-0.009031610637230458</x:v>
      </x:c>
    </x:row>
    <x:row r="71" ht="19.5" customHeight="1">
      <x:c r="A71" s="14" t="str">
        <x:v>formal:2026-08-21:600980.SH:selected</x:v>
      </x:c>
      <x:c r="B71" s="18" t="n">
        <x:v>46258</x:v>
      </x:c>
      <x:c r="C71" s="14" t="str">
        <x:v>600980.SH</x:v>
      </x:c>
      <x:c r="D71" s="14" t="str">
        <x:v>北矿科技</x:v>
      </x:c>
      <x:c r="E71" s="18" t="n">
        <x:v>46261</x:v>
      </x:c>
      <x:c r="F71" s="24" t="n">
        <x:v>4</x:v>
      </x:c>
      <x:c r="G71" s="14" t="str">
        <x:v>available</x:v>
      </x:c>
      <x:c r="H71" s="32" t="n">
        <x:v>19.68</x:v>
      </x:c>
      <x:c r="I71" s="32" t="n">
        <x:v>20.46</x:v>
      </x:c>
      <x:c r="J71" s="32" t="n">
        <x:v>19.62</x:v>
      </x:c>
      <x:c r="K71" s="32" t="n">
        <x:v>20.33</x:v>
      </x:c>
      <x:c r="L71" s="29" t="n">
        <x:v>0.029367</x:v>
      </x:c>
      <x:c r="M71" s="35" t="n">
        <x:v>3121100</x:v>
      </x:c>
      <x:c r="N71" s="35" t="n">
        <x:v>62821956</x:v>
      </x:c>
      <x:c r="O71" s="29" t="n">
        <x:v>0.011946241911398703</x:v>
      </x:c>
      <x:c r="P71" s="29" t="n">
        <x:v>0.011946241911398703</x:v>
      </x:c>
      <x:c r="Q71" s="29" t="n">
        <x:v>0.018417122946739806</x:v>
      </x:c>
      <x:c r="R71" s="29" t="n">
        <x:v>-0.024390243902438824</x:v>
      </x:c>
      <x:c r="S71" s="29" t="n">
        <x:v>0</x:v>
      </x:c>
    </x:row>
    <x:row r="72" ht="19.5" customHeight="1">
      <x:c r="A72" s="12" t="str">
        <x:v>formal:2026-08-21:600980.SH:selected</x:v>
      </x:c>
      <x:c r="B72" s="17" t="n">
        <x:v>46258</x:v>
      </x:c>
      <x:c r="C72" s="12" t="str">
        <x:v>600980.SH</x:v>
      </x:c>
      <x:c r="D72" s="12" t="str">
        <x:v>北矿科技</x:v>
      </x:c>
      <x:c r="E72" s="17" t="n">
        <x:v>46262</x:v>
      </x:c>
      <x:c r="F72" s="23" t="n">
        <x:v>5</x:v>
      </x:c>
      <x:c r="G72" s="12" t="str">
        <x:v>available</x:v>
      </x:c>
      <x:c r="H72" s="31" t="n">
        <x:v>20.47</x:v>
      </x:c>
      <x:c r="I72" s="31" t="n">
        <x:v>20.47</x:v>
      </x:c>
      <x:c r="J72" s="31" t="n">
        <x:v>20.06</x:v>
      </x:c>
      <x:c r="K72" s="31" t="n">
        <x:v>20.12</x:v>
      </x:c>
      <x:c r="L72" s="28" t="n">
        <x:v>-0.010329999999999999</x:v>
      </x:c>
      <x:c r="M72" s="34" t="n">
        <x:v>1890600</x:v>
      </x:c>
      <x:c r="N72" s="34" t="n">
        <x:v>38089970</x:v>
      </x:c>
      <x:c r="O72" s="28" t="n">
        <x:v>0.0014932802389249211</x:v>
      </x:c>
      <x:c r="P72" s="28" t="n">
        <x:v>0.011946241911398703</x:v>
      </x:c>
      <x:c r="Q72" s="28" t="n">
        <x:v>0.018914883026381224</x:v>
      </x:c>
      <x:c r="R72" s="28" t="n">
        <x:v>-0.024390243902438824</x:v>
      </x:c>
      <x:c r="S72" s="28" t="n">
        <x:v>-0.010329562223315158</x:v>
      </x:c>
    </x:row>
    <x:row r="73" ht="19.5" customHeight="1">
      <x:c r="A73" s="14" t="str">
        <x:v>formal:2026-08-21:600980.SH:selected</x:v>
      </x:c>
      <x:c r="B73" s="18" t="n">
        <x:v>46258</x:v>
      </x:c>
      <x:c r="C73" s="14" t="str">
        <x:v>600980.SH</x:v>
      </x:c>
      <x:c r="D73" s="14" t="str">
        <x:v>北矿科技</x:v>
      </x:c>
      <x:c r="E73" s="18" t="n">
        <x:v>46265</x:v>
      </x:c>
      <x:c r="F73" s="24" t="n">
        <x:v>6</x:v>
      </x:c>
      <x:c r="G73" s="14" t="str">
        <x:v>available</x:v>
      </x:c>
      <x:c r="H73" s="32" t="n">
        <x:v>20</x:v>
      </x:c>
      <x:c r="I73" s="32" t="n">
        <x:v>20.06</x:v>
      </x:c>
      <x:c r="J73" s="32" t="n">
        <x:v>19.76</x:v>
      </x:c>
      <x:c r="K73" s="32" t="n">
        <x:v>19.92</x:v>
      </x:c>
      <x:c r="L73" s="29" t="n">
        <x:v>-0.00994</x:v>
      </x:c>
      <x:c r="M73" s="35" t="n">
        <x:v>2697199</x:v>
      </x:c>
      <x:c r="N73" s="35" t="n">
        <x:v>53744365</x:v>
      </x:c>
      <x:c r="O73" s="29" t="n">
        <x:v>-0.008461921353907331</x:v>
      </x:c>
      <x:c r="P73" s="29" t="n">
        <x:v>0.011946241911398703</x:v>
      </x:c>
      <x:c r="Q73" s="29" t="n">
        <x:v>0.018914883026381224</x:v>
      </x:c>
      <x:c r="R73" s="29" t="n">
        <x:v>-0.024390243902438824</x:v>
      </x:c>
      <x:c r="S73" s="29" t="n">
        <x:v>-0.02016724053123453</x:v>
      </x:c>
    </x:row>
    <x:row r="74" ht="19.5" customHeight="1">
      <x:c r="A74" s="12" t="str">
        <x:v>formal:2026-08-24:000690.SZ:selected</x:v>
      </x:c>
      <x:c r="B74" s="17" t="n">
        <x:v>46259</x:v>
      </x:c>
      <x:c r="C74" s="12" t="str">
        <x:v>000690.SZ</x:v>
      </x:c>
      <x:c r="D74" s="12" t="str">
        <x:v>宝新能源</x:v>
      </x:c>
      <x:c r="E74" s="17" t="n">
        <x:v>46259</x:v>
      </x:c>
      <x:c r="F74" s="23" t="n">
        <x:v>1</x:v>
      </x:c>
      <x:c r="G74" s="12" t="str">
        <x:v>available</x:v>
      </x:c>
      <x:c r="H74" s="31" t="n">
        <x:v>4.94</x:v>
      </x:c>
      <x:c r="I74" s="31" t="n">
        <x:v>4.98</x:v>
      </x:c>
      <x:c r="J74" s="31" t="n">
        <x:v>4.88</x:v>
      </x:c>
      <x:c r="K74" s="31" t="n">
        <x:v>4.93</x:v>
      </x:c>
      <x:c r="L74" s="28" t="n">
        <x:v>-0.013999999999999999</x:v>
      </x:c>
      <x:c r="M74" s="34" t="n">
        <x:v>71310970</x:v>
      </x:c>
      <x:c r="N74" s="34" t="n">
        <x:v>351264686.79</x:v>
      </x:c>
      <x:c r="O74" s="28" t="n">
        <x:v>-0.002024291497975894</x:v>
      </x:c>
      <x:c r="P74" s="28" t="n">
        <x:v>-0.002024291497975894</x:v>
      </x:c>
      <x:c r="Q74" s="28" t="n">
        <x:v>0.00809716599190291</x:v>
      </x:c>
      <x:c r="R74" s="28" t="n">
        <x:v>-0.012145748987854477</x:v>
      </x:c>
      <x:c r="S74" s="28" t="n">
        <x:v>0</x:v>
      </x:c>
    </x:row>
    <x:row r="75" ht="19.5" customHeight="1">
      <x:c r="A75" s="14" t="str">
        <x:v>formal:2026-08-24:000690.SZ:selected</x:v>
      </x:c>
      <x:c r="B75" s="18" t="n">
        <x:v>46259</x:v>
      </x:c>
      <x:c r="C75" s="14" t="str">
        <x:v>000690.SZ</x:v>
      </x:c>
      <x:c r="D75" s="14" t="str">
        <x:v>宝新能源</x:v>
      </x:c>
      <x:c r="E75" s="18" t="n">
        <x:v>46260</x:v>
      </x:c>
      <x:c r="F75" s="24" t="n">
        <x:v>2</x:v>
      </x:c>
      <x:c r="G75" s="14" t="str">
        <x:v>available</x:v>
      </x:c>
      <x:c r="H75" s="32" t="n">
        <x:v>4.91</x:v>
      </x:c>
      <x:c r="I75" s="32" t="n">
        <x:v>4.96</x:v>
      </x:c>
      <x:c r="J75" s="32" t="n">
        <x:v>4.89</x:v>
      </x:c>
      <x:c r="K75" s="32" t="n">
        <x:v>4.93</x:v>
      </x:c>
      <x:c r="L75" s="29" t="n">
        <x:v>0</x:v>
      </x:c>
      <x:c r="M75" s="35" t="n">
        <x:v>50778371</x:v>
      </x:c>
      <x:c r="N75" s="35" t="n">
        <x:v>250362820.21</x:v>
      </x:c>
      <x:c r="O75" s="29" t="n">
        <x:v>-0.002024291497975894</x:v>
      </x:c>
      <x:c r="P75" s="29" t="n">
        <x:v>-0.002024291497975894</x:v>
      </x:c>
      <x:c r="Q75" s="29" t="n">
        <x:v>0.00809716599190291</x:v>
      </x:c>
      <x:c r="R75" s="29" t="n">
        <x:v>-0.012145748987854477</x:v>
      </x:c>
      <x:c r="S75" s="29" t="n">
        <x:v>0</x:v>
      </x:c>
    </x:row>
    <x:row r="76" ht="19.5" customHeight="1">
      <x:c r="A76" s="12" t="str">
        <x:v>formal:2026-08-24:000690.SZ:selected</x:v>
      </x:c>
      <x:c r="B76" s="17" t="n">
        <x:v>46259</x:v>
      </x:c>
      <x:c r="C76" s="12" t="str">
        <x:v>000690.SZ</x:v>
      </x:c>
      <x:c r="D76" s="12" t="str">
        <x:v>宝新能源</x:v>
      </x:c>
      <x:c r="E76" s="17" t="n">
        <x:v>46261</x:v>
      </x:c>
      <x:c r="F76" s="23" t="n">
        <x:v>3</x:v>
      </x:c>
      <x:c r="G76" s="12" t="str">
        <x:v>available</x:v>
      </x:c>
      <x:c r="H76" s="31" t="n">
        <x:v>4.9</x:v>
      </x:c>
      <x:c r="I76" s="31" t="n">
        <x:v>4.91</x:v>
      </x:c>
      <x:c r="J76" s="31" t="n">
        <x:v>4.83</x:v>
      </x:c>
      <x:c r="K76" s="31" t="n">
        <x:v>4.91</x:v>
      </x:c>
      <x:c r="L76" s="28" t="n">
        <x:v>-0.004057</x:v>
      </x:c>
      <x:c r="M76" s="34" t="n">
        <x:v>50836989</x:v>
      </x:c>
      <x:c r="N76" s="34" t="n">
        <x:v>247194350.32999998</x:v>
      </x:c>
      <x:c r="O76" s="28" t="n">
        <x:v>-0.006072874493927238</x:v>
      </x:c>
      <x:c r="P76" s="28" t="n">
        <x:v>-0.002024291497975894</x:v>
      </x:c>
      <x:c r="Q76" s="28" t="n">
        <x:v>0.00809716599190291</x:v>
      </x:c>
      <x:c r="R76" s="28" t="n">
        <x:v>-0.022267206477732948</x:v>
      </x:c>
      <x:c r="S76" s="28" t="n">
        <x:v>-0.0040567951318457585</x:v>
      </x:c>
    </x:row>
    <x:row r="77" ht="19.5" customHeight="1">
      <x:c r="A77" s="14" t="str">
        <x:v>formal:2026-08-24:000690.SZ:selected</x:v>
      </x:c>
      <x:c r="B77" s="18" t="n">
        <x:v>46259</x:v>
      </x:c>
      <x:c r="C77" s="14" t="str">
        <x:v>000690.SZ</x:v>
      </x:c>
      <x:c r="D77" s="14" t="str">
        <x:v>宝新能源</x:v>
      </x:c>
      <x:c r="E77" s="18" t="n">
        <x:v>46262</x:v>
      </x:c>
      <x:c r="F77" s="24" t="n">
        <x:v>4</x:v>
      </x:c>
      <x:c r="G77" s="14" t="str">
        <x:v>available</x:v>
      </x:c>
      <x:c r="H77" s="32" t="n">
        <x:v>4.9</x:v>
      </x:c>
      <x:c r="I77" s="32" t="n">
        <x:v>4.92</x:v>
      </x:c>
      <x:c r="J77" s="32" t="n">
        <x:v>4.86</x:v>
      </x:c>
      <x:c r="K77" s="32" t="n">
        <x:v>4.9</x:v>
      </x:c>
      <x:c r="L77" s="29" t="n">
        <x:v>-0.0020369999999999997</x:v>
      </x:c>
      <x:c r="M77" s="35" t="n">
        <x:v>36726149</x:v>
      </x:c>
      <x:c r="N77" s="35" t="n">
        <x:v>179625884.59</x:v>
      </x:c>
      <x:c r="O77" s="29" t="n">
        <x:v>-0.00809716599190291</x:v>
      </x:c>
      <x:c r="P77" s="29" t="n">
        <x:v>-0.002024291497975894</x:v>
      </x:c>
      <x:c r="Q77" s="29" t="n">
        <x:v>0.00809716599190291</x:v>
      </x:c>
      <x:c r="R77" s="29" t="n">
        <x:v>-0.022267206477732948</x:v>
      </x:c>
      <x:c r="S77" s="29" t="n">
        <x:v>-0.006085192697768638</x:v>
      </x:c>
    </x:row>
    <x:row r="78" ht="19.5" customHeight="1">
      <x:c r="A78" s="12" t="str">
        <x:v>formal:2026-08-24:000690.SZ:selected</x:v>
      </x:c>
      <x:c r="B78" s="17" t="n">
        <x:v>46259</x:v>
      </x:c>
      <x:c r="C78" s="12" t="str">
        <x:v>000690.SZ</x:v>
      </x:c>
      <x:c r="D78" s="12" t="str">
        <x:v>宝新能源</x:v>
      </x:c>
      <x:c r="E78" s="17" t="n">
        <x:v>46265</x:v>
      </x:c>
      <x:c r="F78" s="23" t="n">
        <x:v>5</x:v>
      </x:c>
      <x:c r="G78" s="12" t="str">
        <x:v>available</x:v>
      </x:c>
      <x:c r="H78" s="31" t="n">
        <x:v>4.89</x:v>
      </x:c>
      <x:c r="I78" s="31" t="n">
        <x:v>4.94</x:v>
      </x:c>
      <x:c r="J78" s="31" t="n">
        <x:v>4.86</x:v>
      </x:c>
      <x:c r="K78" s="31" t="n">
        <x:v>4.9</x:v>
      </x:c>
      <x:c r="L78" s="28" t="n">
        <x:v>0</x:v>
      </x:c>
      <x:c r="M78" s="34" t="n">
        <x:v>36133539</x:v>
      </x:c>
      <x:c r="N78" s="34" t="n">
        <x:v>176920208.87</x:v>
      </x:c>
      <x:c r="O78" s="28" t="n">
        <x:v>-0.00809716599190291</x:v>
      </x:c>
      <x:c r="P78" s="28" t="n">
        <x:v>-0.002024291497975894</x:v>
      </x:c>
      <x:c r="Q78" s="28" t="n">
        <x:v>0.00809716599190291</x:v>
      </x:c>
      <x:c r="R78" s="28" t="n">
        <x:v>-0.022267206477732948</x:v>
      </x:c>
      <x:c r="S78" s="28" t="n">
        <x:v>-0.006085192697768638</x:v>
      </x:c>
    </x:row>
    <x:row r="79" ht="19.5" customHeight="1">
      <x:c r="A79" s="14" t="str">
        <x:v>formal:2026-08-24:601998.SH:selected</x:v>
      </x:c>
      <x:c r="B79" s="18" t="n">
        <x:v>46259</x:v>
      </x:c>
      <x:c r="C79" s="14" t="str">
        <x:v>601998.SH</x:v>
      </x:c>
      <x:c r="D79" s="14" t="str">
        <x:v>中信银行</x:v>
      </x:c>
      <x:c r="E79" s="18" t="n">
        <x:v>46259</x:v>
      </x:c>
      <x:c r="F79" s="24" t="n">
        <x:v>1</x:v>
      </x:c>
      <x:c r="G79" s="14" t="str">
        <x:v>available</x:v>
      </x:c>
      <x:c r="H79" s="32" t="n">
        <x:v>8.58</x:v>
      </x:c>
      <x:c r="I79" s="32" t="n">
        <x:v>8.66</x:v>
      </x:c>
      <x:c r="J79" s="32" t="n">
        <x:v>8.48</x:v>
      </x:c>
      <x:c r="K79" s="32" t="n">
        <x:v>8.51</x:v>
      </x:c>
      <x:c r="L79" s="29" t="n">
        <x:v>-0.005841</x:v>
      </x:c>
      <x:c r="M79" s="35" t="n">
        <x:v>105093736.00000001</x:v>
      </x:c>
      <x:c r="N79" s="35" t="n">
        <x:v>899664576</x:v>
      </x:c>
      <x:c r="O79" s="29" t="n">
        <x:v>-0.00815850815850816</x:v>
      </x:c>
      <x:c r="P79" s="29" t="n">
        <x:v>-0.00815850815850816</x:v>
      </x:c>
      <x:c r="Q79" s="29" t="n">
        <x:v>0.00932400932400923</x:v>
      </x:c>
      <x:c r="R79" s="29" t="n">
        <x:v>-0.011655011655011593</x:v>
      </x:c>
      <x:c r="S79" s="29" t="n">
        <x:v>0</x:v>
      </x:c>
    </x:row>
    <x:row r="80" ht="19.5" customHeight="1">
      <x:c r="A80" s="12" t="str">
        <x:v>formal:2026-08-24:601998.SH:selected</x:v>
      </x:c>
      <x:c r="B80" s="17" t="n">
        <x:v>46259</x:v>
      </x:c>
      <x:c r="C80" s="12" t="str">
        <x:v>601998.SH</x:v>
      </x:c>
      <x:c r="D80" s="12" t="str">
        <x:v>中信银行</x:v>
      </x:c>
      <x:c r="E80" s="17" t="n">
        <x:v>46260</x:v>
      </x:c>
      <x:c r="F80" s="23" t="n">
        <x:v>2</x:v>
      </x:c>
      <x:c r="G80" s="12" t="str">
        <x:v>available</x:v>
      </x:c>
      <x:c r="H80" s="31" t="n">
        <x:v>8.46</x:v>
      </x:c>
      <x:c r="I80" s="31" t="n">
        <x:v>8.7</x:v>
      </x:c>
      <x:c r="J80" s="31" t="n">
        <x:v>8.44</x:v>
      </x:c>
      <x:c r="K80" s="31" t="n">
        <x:v>8.65</x:v>
      </x:c>
      <x:c r="L80" s="28" t="n">
        <x:v>0.016451</x:v>
      </x:c>
      <x:c r="M80" s="34" t="n">
        <x:v>80402159</x:v>
      </x:c>
      <x:c r="N80" s="34" t="n">
        <x:v>691287581</x:v>
      </x:c>
      <x:c r="O80" s="28" t="n">
        <x:v>0.00815850815850827</x:v>
      </x:c>
      <x:c r="P80" s="28" t="n">
        <x:v>0.00815850815850827</x:v>
      </x:c>
      <x:c r="Q80" s="28" t="n">
        <x:v>0.013986013986013957</x:v>
      </x:c>
      <x:c r="R80" s="28" t="n">
        <x:v>-0.01631701631701632</x:v>
      </x:c>
      <x:c r="S80" s="28" t="n">
        <x:v>0</x:v>
      </x:c>
    </x:row>
    <x:row r="81" ht="19.5" customHeight="1">
      <x:c r="A81" s="14" t="str">
        <x:v>formal:2026-08-24:601998.SH:selected</x:v>
      </x:c>
      <x:c r="B81" s="18" t="n">
        <x:v>46259</x:v>
      </x:c>
      <x:c r="C81" s="14" t="str">
        <x:v>601998.SH</x:v>
      </x:c>
      <x:c r="D81" s="14" t="str">
        <x:v>中信银行</x:v>
      </x:c>
      <x:c r="E81" s="18" t="n">
        <x:v>46261</x:v>
      </x:c>
      <x:c r="F81" s="24" t="n">
        <x:v>3</x:v>
      </x:c>
      <x:c r="G81" s="14" t="str">
        <x:v>available</x:v>
      </x:c>
      <x:c r="H81" s="32" t="n">
        <x:v>8.58</x:v>
      </x:c>
      <x:c r="I81" s="32" t="n">
        <x:v>8.69</x:v>
      </x:c>
      <x:c r="J81" s="32" t="n">
        <x:v>8.49</x:v>
      </x:c>
      <x:c r="K81" s="32" t="n">
        <x:v>8.66</x:v>
      </x:c>
      <x:c r="L81" s="29" t="n">
        <x:v>0.001156</x:v>
      </x:c>
      <x:c r="M81" s="35" t="n">
        <x:v>76294297</x:v>
      </x:c>
      <x:c r="N81" s="35" t="n">
        <x:v>655838867</x:v>
      </x:c>
      <x:c r="O81" s="29" t="n">
        <x:v>0.00932400932400923</x:v>
      </x:c>
      <x:c r="P81" s="29" t="n">
        <x:v>0.00932400932400923</x:v>
      </x:c>
      <x:c r="Q81" s="29" t="n">
        <x:v>0.013986013986013957</x:v>
      </x:c>
      <x:c r="R81" s="29" t="n">
        <x:v>-0.01631701631701632</x:v>
      </x:c>
      <x:c r="S81" s="29" t="n">
        <x:v>0</x:v>
      </x:c>
    </x:row>
    <x:row r="82" ht="19.5" customHeight="1">
      <x:c r="A82" s="12" t="str">
        <x:v>formal:2026-08-24:601998.SH:selected</x:v>
      </x:c>
      <x:c r="B82" s="17" t="n">
        <x:v>46259</x:v>
      </x:c>
      <x:c r="C82" s="12" t="str">
        <x:v>601998.SH</x:v>
      </x:c>
      <x:c r="D82" s="12" t="str">
        <x:v>中信银行</x:v>
      </x:c>
      <x:c r="E82" s="17" t="n">
        <x:v>46262</x:v>
      </x:c>
      <x:c r="F82" s="23" t="n">
        <x:v>4</x:v>
      </x:c>
      <x:c r="G82" s="12" t="str">
        <x:v>available</x:v>
      </x:c>
      <x:c r="H82" s="31" t="n">
        <x:v>8.65</x:v>
      </x:c>
      <x:c r="I82" s="31" t="n">
        <x:v>8.79</x:v>
      </x:c>
      <x:c r="J82" s="31" t="n">
        <x:v>8.59</x:v>
      </x:c>
      <x:c r="K82" s="31" t="n">
        <x:v>8.72</x:v>
      </x:c>
      <x:c r="L82" s="28" t="n">
        <x:v>0.006928</x:v>
      </x:c>
      <x:c r="M82" s="34" t="n">
        <x:v>57387747</x:v>
      </x:c>
      <x:c r="N82" s="34" t="n">
        <x:v>500734434</x:v>
      </x:c>
      <x:c r="O82" s="28" t="n">
        <x:v>0.01631701631701632</x:v>
      </x:c>
      <x:c r="P82" s="28" t="n">
        <x:v>0.01631701631701632</x:v>
      </x:c>
      <x:c r="Q82" s="28" t="n">
        <x:v>0.02447552447552437</x:v>
      </x:c>
      <x:c r="R82" s="28" t="n">
        <x:v>-0.01631701631701632</x:v>
      </x:c>
      <x:c r="S82" s="28" t="n">
        <x:v>0</x:v>
      </x:c>
    </x:row>
    <x:row r="83" ht="19.5" customHeight="1">
      <x:c r="A83" s="14" t="str">
        <x:v>formal:2026-08-24:601998.SH:selected</x:v>
      </x:c>
      <x:c r="B83" s="18" t="n">
        <x:v>46259</x:v>
      </x:c>
      <x:c r="C83" s="14" t="str">
        <x:v>601998.SH</x:v>
      </x:c>
      <x:c r="D83" s="14" t="str">
        <x:v>中信银行</x:v>
      </x:c>
      <x:c r="E83" s="18" t="n">
        <x:v>46265</x:v>
      </x:c>
      <x:c r="F83" s="24" t="n">
        <x:v>5</x:v>
      </x:c>
      <x:c r="G83" s="14" t="str">
        <x:v>available</x:v>
      </x:c>
      <x:c r="H83" s="32" t="n">
        <x:v>8.75</x:v>
      </x:c>
      <x:c r="I83" s="32" t="n">
        <x:v>8.95</x:v>
      </x:c>
      <x:c r="J83" s="32" t="n">
        <x:v>8.73</x:v>
      </x:c>
      <x:c r="K83" s="32" t="n">
        <x:v>8.85</x:v>
      </x:c>
      <x:c r="L83" s="29" t="n">
        <x:v>0.014908</x:v>
      </x:c>
      <x:c r="M83" s="35" t="n">
        <x:v>74379425</x:v>
      </x:c>
      <x:c r="N83" s="35" t="n">
        <x:v>659485249</x:v>
      </x:c>
      <x:c r="O83" s="29" t="n">
        <x:v>0.03146853146853146</x:v>
      </x:c>
      <x:c r="P83" s="29" t="n">
        <x:v>0.03146853146853146</x:v>
      </x:c>
      <x:c r="Q83" s="29" t="n">
        <x:v>0.04312354312354305</x:v>
      </x:c>
      <x:c r="R83" s="29" t="n">
        <x:v>-0.01631701631701632</x:v>
      </x:c>
      <x:c r="S83" s="29" t="n">
        <x:v>0</x:v>
      </x:c>
    </x:row>
    <x:row r="84" ht="19.5" customHeight="1">
      <x:c r="A84" s="12" t="str">
        <x:v>formal:2026-08-25:002366.SZ:selected</x:v>
      </x:c>
      <x:c r="B84" s="17" t="n">
        <x:v>46260</x:v>
      </x:c>
      <x:c r="C84" s="12" t="str">
        <x:v>002366.SZ</x:v>
      </x:c>
      <x:c r="D84" s="12" t="str">
        <x:v>融发核电</x:v>
      </x:c>
      <x:c r="E84" s="17" t="n">
        <x:v>46260</x:v>
      </x:c>
      <x:c r="F84" s="23" t="n">
        <x:v>1</x:v>
      </x:c>
      <x:c r="G84" s="12" t="str">
        <x:v>available</x:v>
      </x:c>
      <x:c r="H84" s="31" t="n">
        <x:v>6.24</x:v>
      </x:c>
      <x:c r="I84" s="31" t="n">
        <x:v>6.24</x:v>
      </x:c>
      <x:c r="J84" s="31" t="n">
        <x:v>6.15</x:v>
      </x:c>
      <x:c r="K84" s="31" t="n">
        <x:v>6.24</x:v>
      </x:c>
      <x:c r="L84" s="28" t="n">
        <x:v>0.100529</x:v>
      </x:c>
      <x:c r="M84" s="34" t="n">
        <x:v>80132767</x:v>
      </x:c>
      <x:c r="N84" s="34" t="n">
        <x:v>499945951.08000004</x:v>
      </x:c>
      <x:c r="O84" s="28" t="n">
        <x:v>0</x:v>
      </x:c>
      <x:c r="P84" s="28" t="n">
        <x:v>0</x:v>
      </x:c>
      <x:c r="Q84" s="28" t="n">
        <x:v>0</x:v>
      </x:c>
      <x:c r="R84" s="28" t="n">
        <x:v>-0.014423076923076983</x:v>
      </x:c>
      <x:c r="S84" s="28" t="n">
        <x:v>0</x:v>
      </x:c>
    </x:row>
    <x:row r="85" ht="19.5" customHeight="1">
      <x:c r="A85" s="14" t="str">
        <x:v>formal:2026-08-25:002366.SZ:selected</x:v>
      </x:c>
      <x:c r="B85" s="18" t="n">
        <x:v>46260</x:v>
      </x:c>
      <x:c r="C85" s="14" t="str">
        <x:v>002366.SZ</x:v>
      </x:c>
      <x:c r="D85" s="14" t="str">
        <x:v>融发核电</x:v>
      </x:c>
      <x:c r="E85" s="18" t="n">
        <x:v>46261</x:v>
      </x:c>
      <x:c r="F85" s="24" t="n">
        <x:v>2</x:v>
      </x:c>
      <x:c r="G85" s="14" t="str">
        <x:v>available</x:v>
      </x:c>
      <x:c r="H85" s="32" t="n">
        <x:v>6.05</x:v>
      </x:c>
      <x:c r="I85" s="32" t="n">
        <x:v>6.21</x:v>
      </x:c>
      <x:c r="J85" s="32" t="n">
        <x:v>5.98</x:v>
      </x:c>
      <x:c r="K85" s="32" t="n">
        <x:v>6.17</x:v>
      </x:c>
      <x:c r="L85" s="29" t="n">
        <x:v>-0.011217999999999999</x:v>
      </x:c>
      <x:c r="M85" s="35" t="n">
        <x:v>102920801</x:v>
      </x:c>
      <x:c r="N85" s="35" t="n">
        <x:v>629973850.9</x:v>
      </x:c>
      <x:c r="O85" s="29" t="n">
        <x:v>-0.011217948717948678</x:v>
      </x:c>
      <x:c r="P85" s="29" t="n">
        <x:v>0</x:v>
      </x:c>
      <x:c r="Q85" s="29" t="n">
        <x:v>0</x:v>
      </x:c>
      <x:c r="R85" s="29" t="n">
        <x:v>-0.04166666666666652</x:v>
      </x:c>
      <x:c r="S85" s="29" t="n">
        <x:v>-0.011217948717948678</x:v>
      </x:c>
    </x:row>
    <x:row r="86" ht="19.5" customHeight="1">
      <x:c r="A86" s="12" t="str">
        <x:v>formal:2026-08-25:002366.SZ:selected</x:v>
      </x:c>
      <x:c r="B86" s="17" t="n">
        <x:v>46260</x:v>
      </x:c>
      <x:c r="C86" s="12" t="str">
        <x:v>002366.SZ</x:v>
      </x:c>
      <x:c r="D86" s="12" t="str">
        <x:v>融发核电</x:v>
      </x:c>
      <x:c r="E86" s="17" t="n">
        <x:v>46262</x:v>
      </x:c>
      <x:c r="F86" s="23" t="n">
        <x:v>3</x:v>
      </x:c>
      <x:c r="G86" s="12" t="str">
        <x:v>available</x:v>
      </x:c>
      <x:c r="H86" s="31" t="n">
        <x:v>6.16</x:v>
      </x:c>
      <x:c r="I86" s="31" t="n">
        <x:v>6.45</x:v>
      </x:c>
      <x:c r="J86" s="31" t="n">
        <x:v>6.1</x:v>
      </x:c>
      <x:c r="K86" s="31" t="n">
        <x:v>6.29</x:v>
      </x:c>
      <x:c r="L86" s="28" t="n">
        <x:v>0.019449</x:v>
      </x:c>
      <x:c r="M86" s="34" t="n">
        <x:v>103654689</x:v>
      </x:c>
      <x:c r="N86" s="34" t="n">
        <x:v>651434457.6700001</x:v>
      </x:c>
      <x:c r="O86" s="28" t="n">
        <x:v>0.008012820512820484</x:v>
      </x:c>
      <x:c r="P86" s="28" t="n">
        <x:v>0.008012820512820484</x:v>
      </x:c>
      <x:c r="Q86" s="28" t="n">
        <x:v>0.033653846153846256</x:v>
      </x:c>
      <x:c r="R86" s="28" t="n">
        <x:v>-0.04166666666666652</x:v>
      </x:c>
      <x:c r="S86" s="28" t="n">
        <x:v>0</x:v>
      </x:c>
    </x:row>
    <x:row r="87" ht="19.5" customHeight="1">
      <x:c r="A87" s="14" t="str">
        <x:v>formal:2026-08-25:002366.SZ:selected</x:v>
      </x:c>
      <x:c r="B87" s="18" t="n">
        <x:v>46260</x:v>
      </x:c>
      <x:c r="C87" s="14" t="str">
        <x:v>002366.SZ</x:v>
      </x:c>
      <x:c r="D87" s="14" t="str">
        <x:v>融发核电</x:v>
      </x:c>
      <x:c r="E87" s="18" t="n">
        <x:v>46265</x:v>
      </x:c>
      <x:c r="F87" s="24" t="n">
        <x:v>4</x:v>
      </x:c>
      <x:c r="G87" s="14" t="str">
        <x:v>available</x:v>
      </x:c>
      <x:c r="H87" s="32" t="n">
        <x:v>6.16</x:v>
      </x:c>
      <x:c r="I87" s="32" t="n">
        <x:v>6.2</x:v>
      </x:c>
      <x:c r="J87" s="32" t="n">
        <x:v>6.08</x:v>
      </x:c>
      <x:c r="K87" s="32" t="n">
        <x:v>6.12</x:v>
      </x:c>
      <x:c r="L87" s="29" t="n">
        <x:v>-0.027027000000000002</x:v>
      </x:c>
      <x:c r="M87" s="35" t="n">
        <x:v>52563237</x:v>
      </x:c>
      <x:c r="N87" s="35" t="n">
        <x:v>321822952.70000005</x:v>
      </x:c>
      <x:c r="O87" s="29" t="n">
        <x:v>-0.019230769230769273</x:v>
      </x:c>
      <x:c r="P87" s="29" t="n">
        <x:v>0.008012820512820484</x:v>
      </x:c>
      <x:c r="Q87" s="29" t="n">
        <x:v>0.033653846153846256</x:v>
      </x:c>
      <x:c r="R87" s="29" t="n">
        <x:v>-0.04166666666666652</x:v>
      </x:c>
      <x:c r="S87" s="29" t="n">
        <x:v>-0.027027027027027084</x:v>
      </x:c>
    </x:row>
    <x:row r="88" ht="19.5" customHeight="1">
      <x:c r="A88" s="12" t="str">
        <x:v>formal:2026-08-25:002274.SZ:selected</x:v>
      </x:c>
      <x:c r="B88" s="17" t="n">
        <x:v>46260</x:v>
      </x:c>
      <x:c r="C88" s="12" t="str">
        <x:v>002274.SZ</x:v>
      </x:c>
      <x:c r="D88" s="12" t="str">
        <x:v>华昌化工</x:v>
      </x:c>
      <x:c r="E88" s="17" t="n">
        <x:v>46260</x:v>
      </x:c>
      <x:c r="F88" s="23" t="n">
        <x:v>1</x:v>
      </x:c>
      <x:c r="G88" s="12" t="str">
        <x:v>missing_equity_daily</x:v>
      </x:c>
      <x:c r="H88" s="31"/>
      <x:c r="I88" s="31"/>
      <x:c r="J88" s="31"/>
      <x:c r="K88" s="31"/>
      <x:c r="L88" s="28"/>
      <x:c r="M88" s="34"/>
      <x:c r="N88" s="34"/>
      <x:c r="O88" s="28"/>
      <x:c r="P88" s="28"/>
      <x:c r="Q88" s="28"/>
      <x:c r="R88" s="28"/>
      <x:c r="S88" s="28"/>
    </x:row>
    <x:row r="89" ht="19.5" customHeight="1">
      <x:c r="A89" s="14" t="str">
        <x:v>formal:2026-08-25:002274.SZ:selected</x:v>
      </x:c>
      <x:c r="B89" s="18" t="n">
        <x:v>46260</x:v>
      </x:c>
      <x:c r="C89" s="14" t="str">
        <x:v>002274.SZ</x:v>
      </x:c>
      <x:c r="D89" s="14" t="str">
        <x:v>华昌化工</x:v>
      </x:c>
      <x:c r="E89" s="18" t="n">
        <x:v>46261</x:v>
      </x:c>
      <x:c r="F89" s="24" t="n">
        <x:v>2</x:v>
      </x:c>
      <x:c r="G89" s="14" t="str">
        <x:v>missing_equity_daily</x:v>
      </x:c>
      <x:c r="H89" s="32"/>
      <x:c r="I89" s="32"/>
      <x:c r="J89" s="32"/>
      <x:c r="K89" s="32"/>
      <x:c r="L89" s="29"/>
      <x:c r="M89" s="35"/>
      <x:c r="N89" s="35"/>
      <x:c r="O89" s="29"/>
      <x:c r="P89" s="29"/>
      <x:c r="Q89" s="29"/>
      <x:c r="R89" s="29"/>
      <x:c r="S89" s="29"/>
    </x:row>
    <x:row r="90" ht="19.5" customHeight="1">
      <x:c r="A90" s="12" t="str">
        <x:v>formal:2026-08-25:002274.SZ:selected</x:v>
      </x:c>
      <x:c r="B90" s="17" t="n">
        <x:v>46260</x:v>
      </x:c>
      <x:c r="C90" s="12" t="str">
        <x:v>002274.SZ</x:v>
      </x:c>
      <x:c r="D90" s="12" t="str">
        <x:v>华昌化工</x:v>
      </x:c>
      <x:c r="E90" s="17" t="n">
        <x:v>46262</x:v>
      </x:c>
      <x:c r="F90" s="23" t="n">
        <x:v>3</x:v>
      </x:c>
      <x:c r="G90" s="12" t="str">
        <x:v>missing_equity_daily</x:v>
      </x:c>
      <x:c r="H90" s="31"/>
      <x:c r="I90" s="31"/>
      <x:c r="J90" s="31"/>
      <x:c r="K90" s="31"/>
      <x:c r="L90" s="28"/>
      <x:c r="M90" s="34"/>
      <x:c r="N90" s="34"/>
      <x:c r="O90" s="28"/>
      <x:c r="P90" s="28"/>
      <x:c r="Q90" s="28"/>
      <x:c r="R90" s="28"/>
      <x:c r="S90" s="28"/>
    </x:row>
    <x:row r="91" ht="19.5" customHeight="1">
      <x:c r="A91" s="14" t="str">
        <x:v>formal:2026-08-25:002274.SZ:selected</x:v>
      </x:c>
      <x:c r="B91" s="18" t="n">
        <x:v>46260</x:v>
      </x:c>
      <x:c r="C91" s="14" t="str">
        <x:v>002274.SZ</x:v>
      </x:c>
      <x:c r="D91" s="14" t="str">
        <x:v>华昌化工</x:v>
      </x:c>
      <x:c r="E91" s="18" t="n">
        <x:v>46265</x:v>
      </x:c>
      <x:c r="F91" s="24" t="n">
        <x:v>4</x:v>
      </x:c>
      <x:c r="G91" s="14" t="str">
        <x:v>missing_equity_daily</x:v>
      </x:c>
      <x:c r="H91" s="32"/>
      <x:c r="I91" s="32"/>
      <x:c r="J91" s="32"/>
      <x:c r="K91" s="32"/>
      <x:c r="L91" s="29"/>
      <x:c r="M91" s="35"/>
      <x:c r="N91" s="35"/>
      <x:c r="O91" s="29"/>
      <x:c r="P91" s="29"/>
      <x:c r="Q91" s="29"/>
      <x:c r="R91" s="29"/>
      <x:c r="S91" s="29"/>
    </x:row>
    <x:row r="92" ht="19.5" customHeight="1">
      <x:c r="A92" s="12" t="str">
        <x:v>formal:2026-08-25:603408.SH:selected</x:v>
      </x:c>
      <x:c r="B92" s="17" t="n">
        <x:v>46260</x:v>
      </x:c>
      <x:c r="C92" s="12" t="str">
        <x:v>603408.SH</x:v>
      </x:c>
      <x:c r="D92" s="12" t="str">
        <x:v>建霖家居</x:v>
      </x:c>
      <x:c r="E92" s="17" t="n">
        <x:v>46260</x:v>
      </x:c>
      <x:c r="F92" s="23" t="n">
        <x:v>1</x:v>
      </x:c>
      <x:c r="G92" s="12" t="str">
        <x:v>available</x:v>
      </x:c>
      <x:c r="H92" s="31" t="n">
        <x:v>11.42</x:v>
      </x:c>
      <x:c r="I92" s="31" t="n">
        <x:v>11.65</x:v>
      </x:c>
      <x:c r="J92" s="31" t="n">
        <x:v>11.26</x:v>
      </x:c>
      <x:c r="K92" s="31" t="n">
        <x:v>11.51</x:v>
      </x:c>
      <x:c r="L92" s="28" t="n">
        <x:v>0.009649</x:v>
      </x:c>
      <x:c r="M92" s="34" t="n">
        <x:v>8041261</x:v>
      </x:c>
      <x:c r="N92" s="34" t="n">
        <x:v>92492096</x:v>
      </x:c>
      <x:c r="O92" s="28" t="n">
        <x:v>0.007880910683012221</x:v>
      </x:c>
      <x:c r="P92" s="28" t="n">
        <x:v>0.007880910683012221</x:v>
      </x:c>
      <x:c r="Q92" s="28" t="n">
        <x:v>0.020140105078809034</x:v>
      </x:c>
      <x:c r="R92" s="28" t="n">
        <x:v>-0.014010507880910628</x:v>
      </x:c>
      <x:c r="S92" s="28" t="n">
        <x:v>0</x:v>
      </x:c>
    </x:row>
    <x:row r="93" ht="19.5" customHeight="1">
      <x:c r="A93" s="14" t="str">
        <x:v>formal:2026-08-25:603408.SH:selected</x:v>
      </x:c>
      <x:c r="B93" s="18" t="n">
        <x:v>46260</x:v>
      </x:c>
      <x:c r="C93" s="14" t="str">
        <x:v>603408.SH</x:v>
      </x:c>
      <x:c r="D93" s="14" t="str">
        <x:v>建霖家居</x:v>
      </x:c>
      <x:c r="E93" s="18" t="n">
        <x:v>46261</x:v>
      </x:c>
      <x:c r="F93" s="24" t="n">
        <x:v>2</x:v>
      </x:c>
      <x:c r="G93" s="14" t="str">
        <x:v>available</x:v>
      </x:c>
      <x:c r="H93" s="32" t="n">
        <x:v>11.49</x:v>
      </x:c>
      <x:c r="I93" s="32" t="n">
        <x:v>11.6</x:v>
      </x:c>
      <x:c r="J93" s="32" t="n">
        <x:v>11.36</x:v>
      </x:c>
      <x:c r="K93" s="32" t="n">
        <x:v>11.56</x:v>
      </x:c>
      <x:c r="L93" s="29" t="n">
        <x:v>0.004344</x:v>
      </x:c>
      <x:c r="M93" s="35" t="n">
        <x:v>4259200</x:v>
      </x:c>
      <x:c r="N93" s="35" t="n">
        <x:v>48966779</x:v>
      </x:c>
      <x:c r="O93" s="29" t="n">
        <x:v>0.012259194395796813</x:v>
      </x:c>
      <x:c r="P93" s="29" t="n">
        <x:v>0.012259194395796813</x:v>
      </x:c>
      <x:c r="Q93" s="29" t="n">
        <x:v>0.020140105078809034</x:v>
      </x:c>
      <x:c r="R93" s="29" t="n">
        <x:v>-0.014010507880910628</x:v>
      </x:c>
      <x:c r="S93" s="29" t="n">
        <x:v>0</x:v>
      </x:c>
    </x:row>
    <x:row r="94" ht="19.5" customHeight="1">
      <x:c r="A94" s="12" t="str">
        <x:v>formal:2026-08-25:603408.SH:selected</x:v>
      </x:c>
      <x:c r="B94" s="17" t="n">
        <x:v>46260</x:v>
      </x:c>
      <x:c r="C94" s="12" t="str">
        <x:v>603408.SH</x:v>
      </x:c>
      <x:c r="D94" s="12" t="str">
        <x:v>建霖家居</x:v>
      </x:c>
      <x:c r="E94" s="17" t="n">
        <x:v>46262</x:v>
      </x:c>
      <x:c r="F94" s="23" t="n">
        <x:v>3</x:v>
      </x:c>
      <x:c r="G94" s="12" t="str">
        <x:v>available</x:v>
      </x:c>
      <x:c r="H94" s="31" t="n">
        <x:v>11.52</x:v>
      </x:c>
      <x:c r="I94" s="31" t="n">
        <x:v>11.7</x:v>
      </x:c>
      <x:c r="J94" s="31" t="n">
        <x:v>11.4</x:v>
      </x:c>
      <x:c r="K94" s="31" t="n">
        <x:v>11.64</x:v>
      </x:c>
      <x:c r="L94" s="28" t="n">
        <x:v>0.006919999999999999</x:v>
      </x:c>
      <x:c r="M94" s="34" t="n">
        <x:v>3645161</x:v>
      </x:c>
      <x:c r="N94" s="34" t="n">
        <x:v>42117453</x:v>
      </x:c>
      <x:c r="O94" s="28" t="n">
        <x:v>0.019264448336252293</x:v>
      </x:c>
      <x:c r="P94" s="28" t="n">
        <x:v>0.019264448336252293</x:v>
      </x:c>
      <x:c r="Q94" s="28" t="n">
        <x:v>0.024518388791593626</x:v>
      </x:c>
      <x:c r="R94" s="28" t="n">
        <x:v>-0.014010507880910628</x:v>
      </x:c>
      <x:c r="S94" s="28" t="n">
        <x:v>0</x:v>
      </x:c>
    </x:row>
    <x:row r="95" ht="19.5" customHeight="1">
      <x:c r="A95" s="14" t="str">
        <x:v>formal:2026-08-25:603408.SH:selected</x:v>
      </x:c>
      <x:c r="B95" s="18" t="n">
        <x:v>46260</x:v>
      </x:c>
      <x:c r="C95" s="14" t="str">
        <x:v>603408.SH</x:v>
      </x:c>
      <x:c r="D95" s="14" t="str">
        <x:v>建霖家居</x:v>
      </x:c>
      <x:c r="E95" s="18" t="n">
        <x:v>46265</x:v>
      </x:c>
      <x:c r="F95" s="24" t="n">
        <x:v>4</x:v>
      </x:c>
      <x:c r="G95" s="14" t="str">
        <x:v>available</x:v>
      </x:c>
      <x:c r="H95" s="32" t="n">
        <x:v>11.52</x:v>
      </x:c>
      <x:c r="I95" s="32" t="n">
        <x:v>12</x:v>
      </x:c>
      <x:c r="J95" s="32" t="n">
        <x:v>11.52</x:v>
      </x:c>
      <x:c r="K95" s="32" t="n">
        <x:v>11.81</x:v>
      </x:c>
      <x:c r="L95" s="29" t="n">
        <x:v>0.014605</x:v>
      </x:c>
      <x:c r="M95" s="35" t="n">
        <x:v>5094153</x:v>
      </x:c>
      <x:c r="N95" s="35" t="n">
        <x:v>60416505</x:v>
      </x:c>
      <x:c r="O95" s="29" t="n">
        <x:v>0.03415061295971977</x:v>
      </x:c>
      <x:c r="P95" s="29" t="n">
        <x:v>0.03415061295971977</x:v>
      </x:c>
      <x:c r="Q95" s="29" t="n">
        <x:v>0.0507880910683014</x:v>
      </x:c>
      <x:c r="R95" s="29" t="n">
        <x:v>-0.014010507880910628</x:v>
      </x:c>
      <x:c r="S95" s="29" t="n">
        <x:v>0</x:v>
      </x:c>
    </x:row>
    <x:row r="96" ht="19.5" customHeight="1">
      <x:c r="A96" s="12" t="str">
        <x:v>formal:2026-08-25:300473.SZ:selected</x:v>
      </x:c>
      <x:c r="B96" s="17" t="n">
        <x:v>46260</x:v>
      </x:c>
      <x:c r="C96" s="12" t="str">
        <x:v>300473.SZ</x:v>
      </x:c>
      <x:c r="D96" s="12" t="str">
        <x:v>德尔股份</x:v>
      </x:c>
      <x:c r="E96" s="17" t="n">
        <x:v>46260</x:v>
      </x:c>
      <x:c r="F96" s="23" t="n">
        <x:v>1</x:v>
      </x:c>
      <x:c r="G96" s="12" t="str">
        <x:v>available</x:v>
      </x:c>
      <x:c r="H96" s="31" t="n">
        <x:v>24.71</x:v>
      </x:c>
      <x:c r="I96" s="31" t="n">
        <x:v>25.75</x:v>
      </x:c>
      <x:c r="J96" s="31" t="n">
        <x:v>24.16</x:v>
      </x:c>
      <x:c r="K96" s="31" t="n">
        <x:v>25.47</x:v>
      </x:c>
      <x:c r="L96" s="28" t="n">
        <x:v>0.035787</x:v>
      </x:c>
      <x:c r="M96" s="34" t="n">
        <x:v>11912458</x:v>
      </x:c>
      <x:c r="N96" s="34" t="n">
        <x:v>298871046.35</x:v>
      </x:c>
      <x:c r="O96" s="28" t="n">
        <x:v>0.030756778632132775</x:v>
      </x:c>
      <x:c r="P96" s="28" t="n">
        <x:v>0.030756778632132775</x:v>
      </x:c>
      <x:c r="Q96" s="28" t="n">
        <x:v>0.04208822339133955</x:v>
      </x:c>
      <x:c r="R96" s="28" t="n">
        <x:v>-0.022258195062727637</x:v>
      </x:c>
      <x:c r="S96" s="28" t="n">
        <x:v>0</x:v>
      </x:c>
    </x:row>
    <x:row r="97" ht="19.5" customHeight="1">
      <x:c r="A97" s="14" t="str">
        <x:v>formal:2026-08-25:300473.SZ:selected</x:v>
      </x:c>
      <x:c r="B97" s="18" t="n">
        <x:v>46260</x:v>
      </x:c>
      <x:c r="C97" s="14" t="str">
        <x:v>300473.SZ</x:v>
      </x:c>
      <x:c r="D97" s="14" t="str">
        <x:v>德尔股份</x:v>
      </x:c>
      <x:c r="E97" s="18" t="n">
        <x:v>46261</x:v>
      </x:c>
      <x:c r="F97" s="24" t="n">
        <x:v>2</x:v>
      </x:c>
      <x:c r="G97" s="14" t="str">
        <x:v>available</x:v>
      </x:c>
      <x:c r="H97" s="32" t="n">
        <x:v>25.47</x:v>
      </x:c>
      <x:c r="I97" s="32" t="n">
        <x:v>27.18</x:v>
      </x:c>
      <x:c r="J97" s="32" t="n">
        <x:v>25.31</x:v>
      </x:c>
      <x:c r="K97" s="32" t="n">
        <x:v>26.9</x:v>
      </x:c>
      <x:c r="L97" s="29" t="n">
        <x:v>0.056144</x:v>
      </x:c>
      <x:c r="M97" s="35" t="n">
        <x:v>12117007</x:v>
      </x:c>
      <x:c r="N97" s="35" t="n">
        <x:v>321569668.58</x:v>
      </x:c>
      <x:c r="O97" s="29" t="n">
        <x:v>0.08862808579522463</x:v>
      </x:c>
      <x:c r="P97" s="29" t="n">
        <x:v>0.08862808579522463</x:v>
      </x:c>
      <x:c r="Q97" s="29" t="n">
        <x:v>0.09995953055443141</x:v>
      </x:c>
      <x:c r="R97" s="29" t="n">
        <x:v>-0.022258195062727637</x:v>
      </x:c>
      <x:c r="S97" s="29" t="n">
        <x:v>0</x:v>
      </x:c>
    </x:row>
    <x:row r="98" ht="19.5" customHeight="1">
      <x:c r="A98" s="12" t="str">
        <x:v>formal:2026-08-25:300473.SZ:selected</x:v>
      </x:c>
      <x:c r="B98" s="17" t="n">
        <x:v>46260</x:v>
      </x:c>
      <x:c r="C98" s="12" t="str">
        <x:v>300473.SZ</x:v>
      </x:c>
      <x:c r="D98" s="12" t="str">
        <x:v>德尔股份</x:v>
      </x:c>
      <x:c r="E98" s="17" t="n">
        <x:v>46262</x:v>
      </x:c>
      <x:c r="F98" s="23" t="n">
        <x:v>3</x:v>
      </x:c>
      <x:c r="G98" s="12" t="str">
        <x:v>available</x:v>
      </x:c>
      <x:c r="H98" s="31" t="n">
        <x:v>26.58</x:v>
      </x:c>
      <x:c r="I98" s="31" t="n">
        <x:v>29.23</x:v>
      </x:c>
      <x:c r="J98" s="31" t="n">
        <x:v>26.5</x:v>
      </x:c>
      <x:c r="K98" s="31" t="n">
        <x:v>27.7</x:v>
      </x:c>
      <x:c r="L98" s="28" t="n">
        <x:v>0.029740000000000003</x:v>
      </x:c>
      <x:c r="M98" s="34" t="n">
        <x:v>12624040</x:v>
      </x:c>
      <x:c r="N98" s="34" t="n">
        <x:v>352217138.95</x:v>
      </x:c>
      <x:c r="O98" s="28" t="n">
        <x:v>0.12100364225010107</x:v>
      </x:c>
      <x:c r="P98" s="28" t="n">
        <x:v>0.12100364225010107</x:v>
      </x:c>
      <x:c r="Q98" s="28" t="n">
        <x:v>0.18292189397005254</x:v>
      </x:c>
      <x:c r="R98" s="28" t="n">
        <x:v>-0.022258195062727637</x:v>
      </x:c>
      <x:c r="S98" s="28" t="n">
        <x:v>0</x:v>
      </x:c>
    </x:row>
    <x:row r="99" ht="19.5" customHeight="1">
      <x:c r="A99" s="14" t="str">
        <x:v>formal:2026-08-25:300473.SZ:selected</x:v>
      </x:c>
      <x:c r="B99" s="18" t="n">
        <x:v>46260</x:v>
      </x:c>
      <x:c r="C99" s="14" t="str">
        <x:v>300473.SZ</x:v>
      </x:c>
      <x:c r="D99" s="14" t="str">
        <x:v>德尔股份</x:v>
      </x:c>
      <x:c r="E99" s="18" t="n">
        <x:v>46265</x:v>
      </x:c>
      <x:c r="F99" s="24" t="n">
        <x:v>4</x:v>
      </x:c>
      <x:c r="G99" s="14" t="str">
        <x:v>available</x:v>
      </x:c>
      <x:c r="H99" s="32" t="n">
        <x:v>27.9</x:v>
      </x:c>
      <x:c r="I99" s="32" t="n">
        <x:v>27.9</x:v>
      </x:c>
      <x:c r="J99" s="32" t="n">
        <x:v>27.06</x:v>
      </x:c>
      <x:c r="K99" s="32" t="n">
        <x:v>27.71</x:v>
      </x:c>
      <x:c r="L99" s="29" t="n">
        <x:v>0.000361</x:v>
      </x:c>
      <x:c r="M99" s="35" t="n">
        <x:v>8932624</x:v>
      </x:c>
      <x:c r="N99" s="35" t="n">
        <x:v>245511864.88</x:v>
      </x:c>
      <x:c r="O99" s="29" t="n">
        <x:v>0.12140833670578721</x:v>
      </x:c>
      <x:c r="P99" s="29" t="n">
        <x:v>0.12140833670578721</x:v>
      </x:c>
      <x:c r="Q99" s="29" t="n">
        <x:v>0.18292189397005254</x:v>
      </x:c>
      <x:c r="R99" s="29" t="n">
        <x:v>-0.022258195062727637</x:v>
      </x:c>
      <x:c r="S99" s="29" t="n">
        <x:v>0</x:v>
      </x:c>
    </x:row>
    <x:row r="100" ht="19.5" customHeight="1">
      <x:c r="A100" s="12" t="str">
        <x:v>formal:2026-08-26:300107.SZ:selected</x:v>
      </x:c>
      <x:c r="B100" s="17" t="n">
        <x:v>46261</x:v>
      </x:c>
      <x:c r="C100" s="12" t="str">
        <x:v>300107.SZ</x:v>
      </x:c>
      <x:c r="D100" s="12" t="str">
        <x:v>建新股份</x:v>
      </x:c>
      <x:c r="E100" s="17" t="n">
        <x:v>46261</x:v>
      </x:c>
      <x:c r="F100" s="23" t="n">
        <x:v>1</x:v>
      </x:c>
      <x:c r="G100" s="12" t="str">
        <x:v>available</x:v>
      </x:c>
      <x:c r="H100" s="31" t="n">
        <x:v>6.8</x:v>
      </x:c>
      <x:c r="I100" s="31" t="n">
        <x:v>6.96</x:v>
      </x:c>
      <x:c r="J100" s="31" t="n">
        <x:v>6.7</x:v>
      </x:c>
      <x:c r="K100" s="31" t="n">
        <x:v>6.8</x:v>
      </x:c>
      <x:c r="L100" s="28" t="n">
        <x:v>-0.010188999999999998</x:v>
      </x:c>
      <x:c r="M100" s="34" t="n">
        <x:v>23430368</x:v>
      </x:c>
      <x:c r="N100" s="34" t="n">
        <x:v>159756145.6</x:v>
      </x:c>
      <x:c r="O100" s="28" t="n">
        <x:v>0</x:v>
      </x:c>
      <x:c r="P100" s="28" t="n">
        <x:v>0</x:v>
      </x:c>
      <x:c r="Q100" s="28" t="n">
        <x:v>0.0235294117647058</x:v>
      </x:c>
      <x:c r="R100" s="28" t="n">
        <x:v>-0.014705882352941235</x:v>
      </x:c>
      <x:c r="S100" s="28" t="n">
        <x:v>0</x:v>
      </x:c>
    </x:row>
    <x:row r="101" ht="19.5" customHeight="1">
      <x:c r="A101" s="14" t="str">
        <x:v>formal:2026-08-26:300107.SZ:selected</x:v>
      </x:c>
      <x:c r="B101" s="18" t="n">
        <x:v>46261</x:v>
      </x:c>
      <x:c r="C101" s="14" t="str">
        <x:v>300107.SZ</x:v>
      </x:c>
      <x:c r="D101" s="14" t="str">
        <x:v>建新股份</x:v>
      </x:c>
      <x:c r="E101" s="18" t="n">
        <x:v>46262</x:v>
      </x:c>
      <x:c r="F101" s="24" t="n">
        <x:v>2</x:v>
      </x:c>
      <x:c r="G101" s="14" t="str">
        <x:v>available</x:v>
      </x:c>
      <x:c r="H101" s="32" t="n">
        <x:v>6.87</x:v>
      </x:c>
      <x:c r="I101" s="32" t="n">
        <x:v>7.04</x:v>
      </x:c>
      <x:c r="J101" s="32" t="n">
        <x:v>6.81</x:v>
      </x:c>
      <x:c r="K101" s="32" t="n">
        <x:v>6.96</x:v>
      </x:c>
      <x:c r="L101" s="29" t="n">
        <x:v>0.023529</x:v>
      </x:c>
      <x:c r="M101" s="35" t="n">
        <x:v>15858100</x:v>
      </x:c>
      <x:c r="N101" s="35" t="n">
        <x:v>110213287</x:v>
      </x:c>
      <x:c r="O101" s="29" t="n">
        <x:v>0.0235294117647058</x:v>
      </x:c>
      <x:c r="P101" s="29" t="n">
        <x:v>0.0235294117647058</x:v>
      </x:c>
      <x:c r="Q101" s="29" t="n">
        <x:v>0.0352941176470587</x:v>
      </x:c>
      <x:c r="R101" s="29" t="n">
        <x:v>-0.014705882352941235</x:v>
      </x:c>
      <x:c r="S101" s="29" t="n">
        <x:v>0</x:v>
      </x:c>
    </x:row>
    <x:row r="102" ht="19.5" customHeight="1">
      <x:c r="A102" s="12" t="str">
        <x:v>formal:2026-08-26:300107.SZ:selected</x:v>
      </x:c>
      <x:c r="B102" s="17" t="n">
        <x:v>46261</x:v>
      </x:c>
      <x:c r="C102" s="12" t="str">
        <x:v>300107.SZ</x:v>
      </x:c>
      <x:c r="D102" s="12" t="str">
        <x:v>建新股份</x:v>
      </x:c>
      <x:c r="E102" s="17" t="n">
        <x:v>46265</x:v>
      </x:c>
      <x:c r="F102" s="23" t="n">
        <x:v>3</x:v>
      </x:c>
      <x:c r="G102" s="12" t="str">
        <x:v>available</x:v>
      </x:c>
      <x:c r="H102" s="31" t="n">
        <x:v>6.9</x:v>
      </x:c>
      <x:c r="I102" s="31" t="n">
        <x:v>7.04</x:v>
      </x:c>
      <x:c r="J102" s="31" t="n">
        <x:v>6.78</x:v>
      </x:c>
      <x:c r="K102" s="31" t="n">
        <x:v>6.97</x:v>
      </x:c>
      <x:c r="L102" s="28" t="n">
        <x:v>0.001437</x:v>
      </x:c>
      <x:c r="M102" s="34" t="n">
        <x:v>16366568</x:v>
      </x:c>
      <x:c r="N102" s="34" t="n">
        <x:v>113173623.64</x:v>
      </x:c>
      <x:c r="O102" s="28" t="n">
        <x:v>0.025000000000000133</x:v>
      </x:c>
      <x:c r="P102" s="28" t="n">
        <x:v>0.025000000000000133</x:v>
      </x:c>
      <x:c r="Q102" s="28" t="n">
        <x:v>0.0352941176470587</x:v>
      </x:c>
      <x:c r="R102" s="28" t="n">
        <x:v>-0.014705882352941235</x:v>
      </x:c>
      <x:c r="S102" s="28" t="n">
        <x:v>0</x:v>
      </x:c>
    </x:row>
    <x:row r="103" ht="19.5" customHeight="1">
      <x:c r="A103" s="14" t="str">
        <x:v>formal:2026-08-26:301289.SZ:selected</x:v>
      </x:c>
      <x:c r="B103" s="18" t="n">
        <x:v>46261</x:v>
      </x:c>
      <x:c r="C103" s="14" t="str">
        <x:v>301289.SZ</x:v>
      </x:c>
      <x:c r="D103" s="14" t="str">
        <x:v>国缆检测</x:v>
      </x:c>
      <x:c r="E103" s="18" t="n">
        <x:v>46261</x:v>
      </x:c>
      <x:c r="F103" s="24" t="n">
        <x:v>1</x:v>
      </x:c>
      <x:c r="G103" s="14" t="str">
        <x:v>available</x:v>
      </x:c>
      <x:c r="H103" s="32" t="n">
        <x:v>46.07</x:v>
      </x:c>
      <x:c r="I103" s="32" t="n">
        <x:v>46.65</x:v>
      </x:c>
      <x:c r="J103" s="32" t="n">
        <x:v>45.5</x:v>
      </x:c>
      <x:c r="K103" s="32" t="n">
        <x:v>46.65</x:v>
      </x:c>
      <x:c r="L103" s="29" t="n">
        <x:v>-0.008712</x:v>
      </x:c>
      <x:c r="M103" s="35" t="n">
        <x:v>2904162</x:v>
      </x:c>
      <x:c r="N103" s="35" t="n">
        <x:v>134142801.27</x:v>
      </x:c>
      <x:c r="O103" s="29" t="n">
        <x:v>0.012589537660082417</x:v>
      </x:c>
      <x:c r="P103" s="29" t="n">
        <x:v>0.012589537660082417</x:v>
      </x:c>
      <x:c r="Q103" s="29" t="n">
        <x:v>0.012589537660082417</x:v>
      </x:c>
      <x:c r="R103" s="29" t="n">
        <x:v>-0.01237247666594321</x:v>
      </x:c>
      <x:c r="S103" s="29" t="n">
        <x:v>0</x:v>
      </x:c>
    </x:row>
    <x:row r="104" ht="19.5" customHeight="1">
      <x:c r="A104" s="12" t="str">
        <x:v>formal:2026-08-26:301289.SZ:selected</x:v>
      </x:c>
      <x:c r="B104" s="17" t="n">
        <x:v>46261</x:v>
      </x:c>
      <x:c r="C104" s="12" t="str">
        <x:v>301289.SZ</x:v>
      </x:c>
      <x:c r="D104" s="12" t="str">
        <x:v>国缆检测</x:v>
      </x:c>
      <x:c r="E104" s="17" t="n">
        <x:v>46262</x:v>
      </x:c>
      <x:c r="F104" s="23" t="n">
        <x:v>2</x:v>
      </x:c>
      <x:c r="G104" s="12" t="str">
        <x:v>available</x:v>
      </x:c>
      <x:c r="H104" s="31" t="n">
        <x:v>45.9</x:v>
      </x:c>
      <x:c r="I104" s="31" t="n">
        <x:v>46.4</x:v>
      </x:c>
      <x:c r="J104" s="31" t="n">
        <x:v>45.1</x:v>
      </x:c>
      <x:c r="K104" s="31" t="n">
        <x:v>45.13</x:v>
      </x:c>
      <x:c r="L104" s="28" t="n">
        <x:v>-0.032583</x:v>
      </x:c>
      <x:c r="M104" s="34" t="n">
        <x:v>2122000</x:v>
      </x:c>
      <x:c r="N104" s="34" t="n">
        <x:v>96676199.04</x:v>
      </x:c>
      <x:c r="O104" s="28" t="n">
        <x:v>-0.020403733449099182</x:v>
      </x:c>
      <x:c r="P104" s="28" t="n">
        <x:v>0.012589537660082417</x:v>
      </x:c>
      <x:c r="Q104" s="28" t="n">
        <x:v>0.012589537660082417</x:v>
      </x:c>
      <x:c r="R104" s="28" t="n">
        <x:v>-0.021054916431517356</x:v>
      </x:c>
      <x:c r="S104" s="28" t="n">
        <x:v>-0.03258306538049294</x:v>
      </x:c>
    </x:row>
    <x:row r="105" ht="19.5" customHeight="1">
      <x:c r="A105" s="14" t="str">
        <x:v>formal:2026-08-26:301289.SZ:selected</x:v>
      </x:c>
      <x:c r="B105" s="18" t="n">
        <x:v>46261</x:v>
      </x:c>
      <x:c r="C105" s="14" t="str">
        <x:v>301289.SZ</x:v>
      </x:c>
      <x:c r="D105" s="14" t="str">
        <x:v>国缆检测</x:v>
      </x:c>
      <x:c r="E105" s="18" t="n">
        <x:v>46265</x:v>
      </x:c>
      <x:c r="F105" s="24" t="n">
        <x:v>3</x:v>
      </x:c>
      <x:c r="G105" s="14" t="str">
        <x:v>available</x:v>
      </x:c>
      <x:c r="H105" s="32" t="n">
        <x:v>44.51</x:v>
      </x:c>
      <x:c r="I105" s="32" t="n">
        <x:v>45.06</x:v>
      </x:c>
      <x:c r="J105" s="32" t="n">
        <x:v>44.31</x:v>
      </x:c>
      <x:c r="K105" s="32" t="n">
        <x:v>44.95</x:v>
      </x:c>
      <x:c r="L105" s="29" t="n">
        <x:v>-0.003988</x:v>
      </x:c>
      <x:c r="M105" s="35" t="n">
        <x:v>1212400</x:v>
      </x:c>
      <x:c r="N105" s="35" t="n">
        <x:v>54251106.62</x:v>
      </x:c>
      <x:c r="O105" s="29" t="n">
        <x:v>-0.024310831343607564</x:v>
      </x:c>
      <x:c r="P105" s="29" t="n">
        <x:v>0.012589537660082417</x:v>
      </x:c>
      <x:c r="Q105" s="29" t="n">
        <x:v>0.012589537660082417</x:v>
      </x:c>
      <x:c r="R105" s="29" t="n">
        <x:v>-0.03820273496852611</x:v>
      </x:c>
      <x:c r="S105" s="29" t="n">
        <x:v>-0.03644158628081451</x:v>
      </x:c>
    </x:row>
    <x:row r="106" ht="19.5" customHeight="1">
      <x:c r="A106" s="12" t="str">
        <x:v>formal:2026-08-26:300082.SZ:selected</x:v>
      </x:c>
      <x:c r="B106" s="17" t="n">
        <x:v>46261</x:v>
      </x:c>
      <x:c r="C106" s="12" t="str">
        <x:v>300082.SZ</x:v>
      </x:c>
      <x:c r="D106" s="12" t="str">
        <x:v>奥克股份</x:v>
      </x:c>
      <x:c r="E106" s="17" t="n">
        <x:v>46261</x:v>
      </x:c>
      <x:c r="F106" s="23" t="n">
        <x:v>1</x:v>
      </x:c>
      <x:c r="G106" s="12" t="str">
        <x:v>available</x:v>
      </x:c>
      <x:c r="H106" s="31" t="n">
        <x:v>8.8</x:v>
      </x:c>
      <x:c r="I106" s="31" t="n">
        <x:v>8.83</x:v>
      </x:c>
      <x:c r="J106" s="31" t="n">
        <x:v>8.47</x:v>
      </x:c>
      <x:c r="K106" s="31" t="n">
        <x:v>8.6</x:v>
      </x:c>
      <x:c r="L106" s="28" t="n">
        <x:v>-0.031532</x:v>
      </x:c>
      <x:c r="M106" s="34" t="n">
        <x:v>29776530</x:v>
      </x:c>
      <x:c r="N106" s="34" t="n">
        <x:v>255416877.94</x:v>
      </x:c>
      <x:c r="O106" s="28" t="n">
        <x:v>-0.022727272727272818</x:v>
      </x:c>
      <x:c r="P106" s="28" t="n">
        <x:v>-0.022727272727272818</x:v>
      </x:c>
      <x:c r="Q106" s="28" t="n">
        <x:v>0.003409090909090695</x:v>
      </x:c>
      <x:c r="R106" s="28" t="n">
        <x:v>-0.03749999999999998</x:v>
      </x:c>
      <x:c r="S106" s="28" t="n">
        <x:v>0</x:v>
      </x:c>
    </x:row>
    <x:row r="107" ht="19.5" customHeight="1">
      <x:c r="A107" s="14" t="str">
        <x:v>formal:2026-08-26:300082.SZ:selected</x:v>
      </x:c>
      <x:c r="B107" s="18" t="n">
        <x:v>46261</x:v>
      </x:c>
      <x:c r="C107" s="14" t="str">
        <x:v>300082.SZ</x:v>
      </x:c>
      <x:c r="D107" s="14" t="str">
        <x:v>奥克股份</x:v>
      </x:c>
      <x:c r="E107" s="18" t="n">
        <x:v>46262</x:v>
      </x:c>
      <x:c r="F107" s="24" t="n">
        <x:v>2</x:v>
      </x:c>
      <x:c r="G107" s="14" t="str">
        <x:v>available</x:v>
      </x:c>
      <x:c r="H107" s="32" t="n">
        <x:v>8.6</x:v>
      </x:c>
      <x:c r="I107" s="32" t="n">
        <x:v>8.84</x:v>
      </x:c>
      <x:c r="J107" s="32" t="n">
        <x:v>8.6</x:v>
      </x:c>
      <x:c r="K107" s="32" t="n">
        <x:v>8.65</x:v>
      </x:c>
      <x:c r="L107" s="29" t="n">
        <x:v>0.005814000000000001</x:v>
      </x:c>
      <x:c r="M107" s="35" t="n">
        <x:v>20510719</x:v>
      </x:c>
      <x:c r="N107" s="35" t="n">
        <x:v>178996435.02</x:v>
      </x:c>
      <x:c r="O107" s="29" t="n">
        <x:v>-0.017045454545454586</x:v>
      </x:c>
      <x:c r="P107" s="29" t="n">
        <x:v>-0.017045454545454586</x:v>
      </x:c>
      <x:c r="Q107" s="29" t="n">
        <x:v>0.004545454545454408</x:v>
      </x:c>
      <x:c r="R107" s="29" t="n">
        <x:v>-0.03749999999999998</x:v>
      </x:c>
      <x:c r="S107" s="29" t="n">
        <x:v>0</x:v>
      </x:c>
    </x:row>
    <x:row r="108" ht="19.5" customHeight="1">
      <x:c r="A108" s="12" t="str">
        <x:v>formal:2026-08-26:300082.SZ:selected</x:v>
      </x:c>
      <x:c r="B108" s="17" t="n">
        <x:v>46261</x:v>
      </x:c>
      <x:c r="C108" s="12" t="str">
        <x:v>300082.SZ</x:v>
      </x:c>
      <x:c r="D108" s="12" t="str">
        <x:v>奥克股份</x:v>
      </x:c>
      <x:c r="E108" s="17" t="n">
        <x:v>46265</x:v>
      </x:c>
      <x:c r="F108" s="23" t="n">
        <x:v>3</x:v>
      </x:c>
      <x:c r="G108" s="12" t="str">
        <x:v>available</x:v>
      </x:c>
      <x:c r="H108" s="31" t="n">
        <x:v>8.5</x:v>
      </x:c>
      <x:c r="I108" s="31" t="n">
        <x:v>8.7</x:v>
      </x:c>
      <x:c r="J108" s="31" t="n">
        <x:v>8.49</x:v>
      </x:c>
      <x:c r="K108" s="31" t="n">
        <x:v>8.53</x:v>
      </x:c>
      <x:c r="L108" s="28" t="n">
        <x:v>-0.013873</x:v>
      </x:c>
      <x:c r="M108" s="34" t="n">
        <x:v>14060010</x:v>
      </x:c>
      <x:c r="N108" s="34" t="n">
        <x:v>119982907.45</x:v>
      </x:c>
      <x:c r="O108" s="28" t="n">
        <x:v>-0.030681818181818366</x:v>
      </x:c>
      <x:c r="P108" s="28" t="n">
        <x:v>-0.017045454545454586</x:v>
      </x:c>
      <x:c r="Q108" s="28" t="n">
        <x:v>0.004545454545454408</x:v>
      </x:c>
      <x:c r="R108" s="28" t="n">
        <x:v>-0.03749999999999998</x:v>
      </x:c>
      <x:c r="S108" s="28" t="n">
        <x:v>-0.0138728323699423</x:v>
      </x:c>
    </x:row>
    <x:row r="109" ht="19.5" customHeight="1">
      <x:c r="A109" s="14" t="str">
        <x:v>formal:2026-08-26:603993.SH:selected</x:v>
      </x:c>
      <x:c r="B109" s="18" t="n">
        <x:v>46261</x:v>
      </x:c>
      <x:c r="C109" s="14" t="str">
        <x:v>603993.SH</x:v>
      </x:c>
      <x:c r="D109" s="14" t="str">
        <x:v>洛阳钼业</x:v>
      </x:c>
      <x:c r="E109" s="18" t="n">
        <x:v>46261</x:v>
      </x:c>
      <x:c r="F109" s="24" t="n">
        <x:v>1</x:v>
      </x:c>
      <x:c r="G109" s="14" t="str">
        <x:v>available</x:v>
      </x:c>
      <x:c r="H109" s="32" t="n">
        <x:v>19.23</x:v>
      </x:c>
      <x:c r="I109" s="32" t="n">
        <x:v>19.63</x:v>
      </x:c>
      <x:c r="J109" s="32" t="n">
        <x:v>19.15</x:v>
      </x:c>
      <x:c r="K109" s="32" t="n">
        <x:v>19.51</x:v>
      </x:c>
      <x:c r="L109" s="29" t="n">
        <x:v>-0.004084</x:v>
      </x:c>
      <x:c r="M109" s="35" t="n">
        <x:v>258420874.00000003</x:v>
      </x:c>
      <x:c r="N109" s="35" t="n">
        <x:v>5003965615</x:v>
      </x:c>
      <x:c r="O109" s="29" t="n">
        <x:v>0.01456058242329683</x:v>
      </x:c>
      <x:c r="P109" s="29" t="n">
        <x:v>0.01456058242329683</x:v>
      </x:c>
      <x:c r="Q109" s="29" t="n">
        <x:v>0.02080083203328109</x:v>
      </x:c>
      <x:c r="R109" s="29" t="n">
        <x:v>-0.004160166406656507</x:v>
      </x:c>
      <x:c r="S109" s="29" t="n">
        <x:v>0</x:v>
      </x:c>
    </x:row>
    <x:row r="110" ht="19.5" customHeight="1">
      <x:c r="A110" s="12" t="str">
        <x:v>formal:2026-08-26:603993.SH:selected</x:v>
      </x:c>
      <x:c r="B110" s="17" t="n">
        <x:v>46261</x:v>
      </x:c>
      <x:c r="C110" s="12" t="str">
        <x:v>603993.SH</x:v>
      </x:c>
      <x:c r="D110" s="12" t="str">
        <x:v>洛阳钼业</x:v>
      </x:c>
      <x:c r="E110" s="17" t="n">
        <x:v>46262</x:v>
      </x:c>
      <x:c r="F110" s="23" t="n">
        <x:v>2</x:v>
      </x:c>
      <x:c r="G110" s="12" t="str">
        <x:v>available</x:v>
      </x:c>
      <x:c r="H110" s="31" t="n">
        <x:v>19.5</x:v>
      </x:c>
      <x:c r="I110" s="31" t="n">
        <x:v>19.73</x:v>
      </x:c>
      <x:c r="J110" s="31" t="n">
        <x:v>19.11</x:v>
      </x:c>
      <x:c r="K110" s="31" t="n">
        <x:v>19.51</x:v>
      </x:c>
      <x:c r="L110" s="28" t="n">
        <x:v>0</x:v>
      </x:c>
      <x:c r="M110" s="34" t="n">
        <x:v>186902155</x:v>
      </x:c>
      <x:c r="N110" s="34" t="n">
        <x:v>3629095914</x:v>
      </x:c>
      <x:c r="O110" s="28" t="n">
        <x:v>0.01456058242329683</x:v>
      </x:c>
      <x:c r="P110" s="28" t="n">
        <x:v>0.01456058242329683</x:v>
      </x:c>
      <x:c r="Q110" s="28" t="n">
        <x:v>0.026001040041601753</x:v>
      </x:c>
      <x:c r="R110" s="28" t="n">
        <x:v>-0.006240249609984483</x:v>
      </x:c>
      <x:c r="S110" s="28" t="n">
        <x:v>0</x:v>
      </x:c>
    </x:row>
    <x:row r="111" ht="19.5" customHeight="1">
      <x:c r="A111" s="14" t="str">
        <x:v>formal:2026-08-26:603993.SH:selected</x:v>
      </x:c>
      <x:c r="B111" s="18" t="n">
        <x:v>46261</x:v>
      </x:c>
      <x:c r="C111" s="14" t="str">
        <x:v>603993.SH</x:v>
      </x:c>
      <x:c r="D111" s="14" t="str">
        <x:v>洛阳钼业</x:v>
      </x:c>
      <x:c r="E111" s="18" t="n">
        <x:v>46265</x:v>
      </x:c>
      <x:c r="F111" s="24" t="n">
        <x:v>3</x:v>
      </x:c>
      <x:c r="G111" s="14" t="str">
        <x:v>available</x:v>
      </x:c>
      <x:c r="H111" s="32" t="n">
        <x:v>18.88</x:v>
      </x:c>
      <x:c r="I111" s="32" t="n">
        <x:v>19.1</x:v>
      </x:c>
      <x:c r="J111" s="32" t="n">
        <x:v>18.45</x:v>
      </x:c>
      <x:c r="K111" s="32" t="n">
        <x:v>19.06</x:v>
      </x:c>
      <x:c r="L111" s="29" t="n">
        <x:v>-0.023065000000000002</x:v>
      </x:c>
      <x:c r="M111" s="35" t="n">
        <x:v>199380295</x:v>
      </x:c>
      <x:c r="N111" s="35" t="n">
        <x:v>3746587199</x:v>
      </x:c>
      <x:c r="O111" s="29" t="n">
        <x:v>-0.008840353614144703</x:v>
      </x:c>
      <x:c r="P111" s="29" t="n">
        <x:v>0.01456058242329683</x:v>
      </x:c>
      <x:c r="Q111" s="29" t="n">
        <x:v>0.026001040041601753</x:v>
      </x:c>
      <x:c r="R111" s="29" t="n">
        <x:v>-0.040561622464898694</x:v>
      </x:c>
      <x:c r="S111" s="29" t="n">
        <x:v>-0.023065094823167653</x:v>
      </x:c>
    </x:row>
    <x:row r="112" ht="19.5" customHeight="1">
      <x:c r="A112" s="12" t="str">
        <x:v>formal:2026-08-27:003816.SZ:selected</x:v>
      </x:c>
      <x:c r="B112" s="17" t="n">
        <x:v>46262</x:v>
      </x:c>
      <x:c r="C112" s="12" t="str">
        <x:v>003816.SZ</x:v>
      </x:c>
      <x:c r="D112" s="12" t="str">
        <x:v>中国广核</x:v>
      </x:c>
      <x:c r="E112" s="17" t="n">
        <x:v>46262</x:v>
      </x:c>
      <x:c r="F112" s="23" t="n">
        <x:v>1</x:v>
      </x:c>
      <x:c r="G112" s="12" t="str">
        <x:v>available</x:v>
      </x:c>
      <x:c r="H112" s="31" t="n">
        <x:v>4.17</x:v>
      </x:c>
      <x:c r="I112" s="31" t="n">
        <x:v>4.26</x:v>
      </x:c>
      <x:c r="J112" s="31" t="n">
        <x:v>4.16</x:v>
      </x:c>
      <x:c r="K112" s="31" t="n">
        <x:v>4.24</x:v>
      </x:c>
      <x:c r="L112" s="28" t="n">
        <x:v>0.014354</x:v>
      </x:c>
      <x:c r="M112" s="34" t="n">
        <x:v>136716835</x:v>
      </x:c>
      <x:c r="N112" s="34" t="n">
        <x:v>577139858.53</x:v>
      </x:c>
      <x:c r="O112" s="28" t="n">
        <x:v>0.016786570743405393</x:v>
      </x:c>
      <x:c r="P112" s="28" t="n">
        <x:v>0.016786570743405393</x:v>
      </x:c>
      <x:c r="Q112" s="28" t="n">
        <x:v>0.021582733812949506</x:v>
      </x:c>
      <x:c r="R112" s="28" t="n">
        <x:v>-0.0023980815347722784</x:v>
      </x:c>
      <x:c r="S112" s="28" t="n">
        <x:v>0</x:v>
      </x:c>
    </x:row>
    <x:row r="113" ht="19.5" customHeight="1">
      <x:c r="A113" s="14" t="str">
        <x:v>formal:2026-08-27:003816.SZ:selected</x:v>
      </x:c>
      <x:c r="B113" s="18" t="n">
        <x:v>46262</x:v>
      </x:c>
      <x:c r="C113" s="14" t="str">
        <x:v>003816.SZ</x:v>
      </x:c>
      <x:c r="D113" s="14" t="str">
        <x:v>中国广核</x:v>
      </x:c>
      <x:c r="E113" s="18" t="n">
        <x:v>46265</x:v>
      </x:c>
      <x:c r="F113" s="24" t="n">
        <x:v>2</x:v>
      </x:c>
      <x:c r="G113" s="14" t="str">
        <x:v>available</x:v>
      </x:c>
      <x:c r="H113" s="32" t="n">
        <x:v>4.22</x:v>
      </x:c>
      <x:c r="I113" s="32" t="n">
        <x:v>4.3</x:v>
      </x:c>
      <x:c r="J113" s="32" t="n">
        <x:v>4.21</x:v>
      </x:c>
      <x:c r="K113" s="32" t="n">
        <x:v>4.27</x:v>
      </x:c>
      <x:c r="L113" s="29" t="n">
        <x:v>0.0070750000000000006</x:v>
      </x:c>
      <x:c r="M113" s="35" t="n">
        <x:v>126331411.00000001</x:v>
      </x:c>
      <x:c r="N113" s="35" t="n">
        <x:v>539394036.36</x:v>
      </x:c>
      <x:c r="O113" s="29" t="n">
        <x:v>0.023980815347721673</x:v>
      </x:c>
      <x:c r="P113" s="29" t="n">
        <x:v>0.023980815347721673</x:v>
      </x:c>
      <x:c r="Q113" s="29" t="n">
        <x:v>0.031175059952038175</x:v>
      </x:c>
      <x:c r="R113" s="29" t="n">
        <x:v>-0.0023980815347722784</x:v>
      </x:c>
      <x:c r="S113" s="29" t="n">
        <x:v>0</x:v>
      </x:c>
    </x:row>
    <x:row r="114" ht="19.5" customHeight="1">
      <x:c r="A114" s="12" t="str">
        <x:v>formal:2026-08-27:000655.SZ:selected</x:v>
      </x:c>
      <x:c r="B114" s="17" t="n">
        <x:v>46262</x:v>
      </x:c>
      <x:c r="C114" s="12" t="str">
        <x:v>000655.SZ</x:v>
      </x:c>
      <x:c r="D114" s="12" t="str">
        <x:v>金岭矿业</x:v>
      </x:c>
      <x:c r="E114" s="17" t="n">
        <x:v>46262</x:v>
      </x:c>
      <x:c r="F114" s="23" t="n">
        <x:v>1</x:v>
      </x:c>
      <x:c r="G114" s="12" t="str">
        <x:v>available</x:v>
      </x:c>
      <x:c r="H114" s="31" t="n">
        <x:v>7.37</x:v>
      </x:c>
      <x:c r="I114" s="31" t="n">
        <x:v>7.56</x:v>
      </x:c>
      <x:c r="J114" s="31" t="n">
        <x:v>7.27</x:v>
      </x:c>
      <x:c r="K114" s="31" t="n">
        <x:v>7.55</x:v>
      </x:c>
      <x:c r="L114" s="28" t="n">
        <x:v>0.027211</x:v>
      </x:c>
      <x:c r="M114" s="34" t="n">
        <x:v>12097240</x:v>
      </x:c>
      <x:c r="N114" s="34" t="n">
        <x:v>90012030.38</x:v>
      </x:c>
      <x:c r="O114" s="28" t="n">
        <x:v>0.024423337856173788</x:v>
      </x:c>
      <x:c r="P114" s="28" t="n">
        <x:v>0.024423337856173788</x:v>
      </x:c>
      <x:c r="Q114" s="28" t="n">
        <x:v>0.02578018995929443</x:v>
      </x:c>
      <x:c r="R114" s="28" t="n">
        <x:v>-0.013568521031207648</x:v>
      </x:c>
      <x:c r="S114" s="28" t="n">
        <x:v>0</x:v>
      </x:c>
    </x:row>
    <x:row r="115" ht="19.5" customHeight="1">
      <x:c r="A115" s="14" t="str">
        <x:v>formal:2026-08-27:000655.SZ:selected</x:v>
      </x:c>
      <x:c r="B115" s="18" t="n">
        <x:v>46262</x:v>
      </x:c>
      <x:c r="C115" s="14" t="str">
        <x:v>000655.SZ</x:v>
      </x:c>
      <x:c r="D115" s="14" t="str">
        <x:v>金岭矿业</x:v>
      </x:c>
      <x:c r="E115" s="18" t="n">
        <x:v>46265</x:v>
      </x:c>
      <x:c r="F115" s="24" t="n">
        <x:v>2</x:v>
      </x:c>
      <x:c r="G115" s="14" t="str">
        <x:v>available</x:v>
      </x:c>
      <x:c r="H115" s="32" t="n">
        <x:v>7.5</x:v>
      </x:c>
      <x:c r="I115" s="32" t="n">
        <x:v>7.52</x:v>
      </x:c>
      <x:c r="J115" s="32" t="n">
        <x:v>7.23</x:v>
      </x:c>
      <x:c r="K115" s="32" t="n">
        <x:v>7.32</x:v>
      </x:c>
      <x:c r="L115" s="29" t="n">
        <x:v>-0.030464</x:v>
      </x:c>
      <x:c r="M115" s="35" t="n">
        <x:v>10599338</x:v>
      </x:c>
      <x:c r="N115" s="35" t="n">
        <x:v>77538569.04</x:v>
      </x:c>
      <x:c r="O115" s="29" t="n">
        <x:v>-0.006784260515603657</x:v>
      </x:c>
      <x:c r="P115" s="29" t="n">
        <x:v>0.024423337856173788</x:v>
      </x:c>
      <x:c r="Q115" s="29" t="n">
        <x:v>0.02578018995929443</x:v>
      </x:c>
      <x:c r="R115" s="29" t="n">
        <x:v>-0.01899592944369044</x:v>
      </x:c>
      <x:c r="S115" s="29" t="n">
        <x:v>-0.030463576158940353</x:v>
      </x:c>
    </x:row>
    <x:row r="116" ht="19.5" customHeight="1">
      <x:c r="A116" s="12" t="str">
        <x:v>formal:2026-08-27:000801.SZ:selected</x:v>
      </x:c>
      <x:c r="B116" s="17" t="n">
        <x:v>46262</x:v>
      </x:c>
      <x:c r="C116" s="12" t="str">
        <x:v>000801.SZ</x:v>
      </x:c>
      <x:c r="D116" s="12" t="str">
        <x:v>四川九洲</x:v>
      </x:c>
      <x:c r="E116" s="17" t="n">
        <x:v>46262</x:v>
      </x:c>
      <x:c r="F116" s="23" t="n">
        <x:v>1</x:v>
      </x:c>
      <x:c r="G116" s="12" t="str">
        <x:v>available</x:v>
      </x:c>
      <x:c r="H116" s="31" t="n">
        <x:v>11.9</x:v>
      </x:c>
      <x:c r="I116" s="31" t="n">
        <x:v>11.93</x:v>
      </x:c>
      <x:c r="J116" s="31" t="n">
        <x:v>11.71</x:v>
      </x:c>
      <x:c r="K116" s="31" t="n">
        <x:v>11.78</x:v>
      </x:c>
      <x:c r="L116" s="28" t="n">
        <x:v>-0.003384</x:v>
      </x:c>
      <x:c r="M116" s="34" t="n">
        <x:v>8773675</x:v>
      </x:c>
      <x:c r="N116" s="34" t="n">
        <x:v>103575831.35</x:v>
      </x:c>
      <x:c r="O116" s="28" t="n">
        <x:v>-0.010084033613445564</x:v>
      </x:c>
      <x:c r="P116" s="28" t="n">
        <x:v>-0.010084033613445564</x:v>
      </x:c>
      <x:c r="Q116" s="28" t="n">
        <x:v>0.0025210084033613356</x:v>
      </x:c>
      <x:c r="R116" s="28" t="n">
        <x:v>-0.015966386554621903</x:v>
      </x:c>
      <x:c r="S116" s="28" t="n">
        <x:v>0</x:v>
      </x:c>
    </x:row>
    <x:row r="117" ht="19.5" customHeight="1">
      <x:c r="A117" s="14" t="str">
        <x:v>formal:2026-08-27:000801.SZ:selected</x:v>
      </x:c>
      <x:c r="B117" s="18" t="n">
        <x:v>46262</x:v>
      </x:c>
      <x:c r="C117" s="14" t="str">
        <x:v>000801.SZ</x:v>
      </x:c>
      <x:c r="D117" s="14" t="str">
        <x:v>四川九洲</x:v>
      </x:c>
      <x:c r="E117" s="18" t="n">
        <x:v>46265</x:v>
      </x:c>
      <x:c r="F117" s="24" t="n">
        <x:v>2</x:v>
      </x:c>
      <x:c r="G117" s="14" t="str">
        <x:v>available</x:v>
      </x:c>
      <x:c r="H117" s="32" t="n">
        <x:v>11.93</x:v>
      </x:c>
      <x:c r="I117" s="32" t="n">
        <x:v>12.66</x:v>
      </x:c>
      <x:c r="J117" s="32" t="n">
        <x:v>11.81</x:v>
      </x:c>
      <x:c r="K117" s="32" t="n">
        <x:v>12.57</x:v>
      </x:c>
      <x:c r="L117" s="29" t="n">
        <x:v>0.067063</x:v>
      </x:c>
      <x:c r="M117" s="35" t="n">
        <x:v>27337095</x:v>
      </x:c>
      <x:c r="N117" s="35" t="n">
        <x:v>339051920.36</x:v>
      </x:c>
      <x:c r="O117" s="29" t="n">
        <x:v>0.05630252100840338</x:v>
      </x:c>
      <x:c r="P117" s="29" t="n">
        <x:v>0.05630252100840338</x:v>
      </x:c>
      <x:c r="Q117" s="29" t="n">
        <x:v>0.06386554621848717</x:v>
      </x:c>
      <x:c r="R117" s="29" t="n">
        <x:v>-0.015966386554621903</x:v>
      </x:c>
      <x:c r="S117" s="29" t="n">
        <x:v>0</x:v>
      </x:c>
    </x:row>
    <x:row r="118" ht="19.5" customHeight="1">
      <x:c r="A118" s="12" t="str">
        <x:v>formal:2026-08-27:000513.SZ:selected</x:v>
      </x:c>
      <x:c r="B118" s="17" t="n">
        <x:v>46262</x:v>
      </x:c>
      <x:c r="C118" s="12" t="str">
        <x:v>000513.SZ</x:v>
      </x:c>
      <x:c r="D118" s="12" t="str">
        <x:v>丽珠集团</x:v>
      </x:c>
      <x:c r="E118" s="17" t="n">
        <x:v>46262</x:v>
      </x:c>
      <x:c r="F118" s="23" t="n">
        <x:v>1</x:v>
      </x:c>
      <x:c r="G118" s="12" t="str">
        <x:v>available</x:v>
      </x:c>
      <x:c r="H118" s="31" t="n">
        <x:v>26.72</x:v>
      </x:c>
      <x:c r="I118" s="31" t="n">
        <x:v>26.95</x:v>
      </x:c>
      <x:c r="J118" s="31" t="n">
        <x:v>26.47</x:v>
      </x:c>
      <x:c r="K118" s="31" t="n">
        <x:v>26.76</x:v>
      </x:c>
      <x:c r="L118" s="28" t="n">
        <x:v>0.018652</x:v>
      </x:c>
      <x:c r="M118" s="34" t="n">
        <x:v>9307799</x:v>
      </x:c>
      <x:c r="N118" s="34" t="n">
        <x:v>249050371.54</x:v>
      </x:c>
      <x:c r="O118" s="28" t="n">
        <x:v>0.0014970059880239361</x:v>
      </x:c>
      <x:c r="P118" s="28" t="n">
        <x:v>0.0014970059880239361</x:v>
      </x:c>
      <x:c r="Q118" s="28" t="n">
        <x:v>0.008607784431137633</x:v>
      </x:c>
      <x:c r="R118" s="28" t="n">
        <x:v>-0.009356287425149712</x:v>
      </x:c>
      <x:c r="S118" s="28" t="n">
        <x:v>0</x:v>
      </x:c>
    </x:row>
    <x:row r="119" ht="19.5" customHeight="1">
      <x:c r="A119" s="14" t="str">
        <x:v>formal:2026-08-27:000513.SZ:selected</x:v>
      </x:c>
      <x:c r="B119" s="18" t="n">
        <x:v>46262</x:v>
      </x:c>
      <x:c r="C119" s="14" t="str">
        <x:v>000513.SZ</x:v>
      </x:c>
      <x:c r="D119" s="14" t="str">
        <x:v>丽珠集团</x:v>
      </x:c>
      <x:c r="E119" s="18" t="n">
        <x:v>46265</x:v>
      </x:c>
      <x:c r="F119" s="24" t="n">
        <x:v>2</x:v>
      </x:c>
      <x:c r="G119" s="14" t="str">
        <x:v>available</x:v>
      </x:c>
      <x:c r="H119" s="32" t="n">
        <x:v>26.7</x:v>
      </x:c>
      <x:c r="I119" s="32" t="n">
        <x:v>26.74</x:v>
      </x:c>
      <x:c r="J119" s="32" t="n">
        <x:v>26.27</x:v>
      </x:c>
      <x:c r="K119" s="32" t="n">
        <x:v>26.41</x:v>
      </x:c>
      <x:c r="L119" s="29" t="n">
        <x:v>-0.013079</x:v>
      </x:c>
      <x:c r="M119" s="35" t="n">
        <x:v>6627797</x:v>
      </x:c>
      <x:c r="N119" s="35" t="n">
        <x:v>175272217.15</x:v>
      </x:c>
      <x:c r="O119" s="29" t="n">
        <x:v>-0.011601796407185505</x:v>
      </x:c>
      <x:c r="P119" s="29" t="n">
        <x:v>0.0014970059880239361</x:v>
      </x:c>
      <x:c r="Q119" s="29" t="n">
        <x:v>0.008607784431137633</x:v>
      </x:c>
      <x:c r="R119" s="29" t="n">
        <x:v>-0.016841317365269393</x:v>
      </x:c>
      <x:c r="S119" s="29" t="n">
        <x:v>-0.013079222720478234</x:v>
      </x:c>
    </x:row>
    <x:row r="120" ht="19.5" customHeight="1">
      <x:c r="A120" s="12" t="str">
        <x:v>formal:2026-08-27:301085.SZ:selected</x:v>
      </x:c>
      <x:c r="B120" s="17" t="n">
        <x:v>46262</x:v>
      </x:c>
      <x:c r="C120" s="12" t="str">
        <x:v>301085.SZ</x:v>
      </x:c>
      <x:c r="D120" s="12" t="str">
        <x:v>亚康股份</x:v>
      </x:c>
      <x:c r="E120" s="17" t="n">
        <x:v>46262</x:v>
      </x:c>
      <x:c r="F120" s="23" t="n">
        <x:v>1</x:v>
      </x:c>
      <x:c r="G120" s="12" t="str">
        <x:v>available</x:v>
      </x:c>
      <x:c r="H120" s="31" t="n">
        <x:v>62.36</x:v>
      </x:c>
      <x:c r="I120" s="31" t="n">
        <x:v>63.3</x:v>
      </x:c>
      <x:c r="J120" s="31" t="n">
        <x:v>60.6</x:v>
      </x:c>
      <x:c r="K120" s="31" t="n">
        <x:v>60.6</x:v>
      </x:c>
      <x:c r="L120" s="28" t="n">
        <x:v>0.021578</x:v>
      </x:c>
      <x:c r="M120" s="34" t="n">
        <x:v>6713694</x:v>
      </x:c>
      <x:c r="N120" s="34" t="n">
        <x:v>416538066.51</x:v>
      </x:c>
      <x:c r="O120" s="28" t="n">
        <x:v>-0.02822322001282862</x:v>
      </x:c>
      <x:c r="P120" s="28" t="n">
        <x:v>-0.02822322001282862</x:v>
      </x:c>
      <x:c r="Q120" s="28" t="n">
        <x:v>0.015073765234124403</x:v>
      </x:c>
      <x:c r="R120" s="28" t="n">
        <x:v>-0.02822322001282862</x:v>
      </x:c>
      <x:c r="S120" s="28" t="n">
        <x:v>0</x:v>
      </x:c>
    </x:row>
    <x:row r="121" ht="19.5" customHeight="1">
      <x:c r="A121" s="14" t="str">
        <x:v>formal:2026-08-27:301085.SZ:selected</x:v>
      </x:c>
      <x:c r="B121" s="18" t="n">
        <x:v>46262</x:v>
      </x:c>
      <x:c r="C121" s="14" t="str">
        <x:v>301085.SZ</x:v>
      </x:c>
      <x:c r="D121" s="14" t="str">
        <x:v>亚康股份</x:v>
      </x:c>
      <x:c r="E121" s="18" t="n">
        <x:v>46265</x:v>
      </x:c>
      <x:c r="F121" s="24" t="n">
        <x:v>2</x:v>
      </x:c>
      <x:c r="G121" s="14" t="str">
        <x:v>available</x:v>
      </x:c>
      <x:c r="H121" s="32" t="n">
        <x:v>57.68</x:v>
      </x:c>
      <x:c r="I121" s="32" t="n">
        <x:v>61.2</x:v>
      </x:c>
      <x:c r="J121" s="32" t="n">
        <x:v>57.58</x:v>
      </x:c>
      <x:c r="K121" s="32" t="n">
        <x:v>61.13</x:v>
      </x:c>
      <x:c r="L121" s="29" t="n">
        <x:v>0.008746</x:v>
      </x:c>
      <x:c r="M121" s="35" t="n">
        <x:v>4964561</x:v>
      </x:c>
      <x:c r="N121" s="35" t="n">
        <x:v>295687588.13</x:v>
      </x:c>
      <x:c r="O121" s="29" t="n">
        <x:v>-0.01972418216805638</x:v>
      </x:c>
      <x:c r="P121" s="29" t="n">
        <x:v>-0.01972418216805638</x:v>
      </x:c>
      <x:c r="Q121" s="29" t="n">
        <x:v>0.015073765234124403</x:v>
      </x:c>
      <x:c r="R121" s="29" t="n">
        <x:v>-0.07665169980756892</x:v>
      </x:c>
      <x:c r="S121" s="29" t="n">
        <x:v>0</x:v>
      </x:c>
    </x:row>
    <x:row r="122" ht="19.5" customHeight="1">
      <x:c r="A122" s="12" t="str">
        <x:v>formal:2026-08-28:002430.SZ:selected</x:v>
      </x:c>
      <x:c r="B122" s="17" t="n">
        <x:v>46265</x:v>
      </x:c>
      <x:c r="C122" s="12" t="str">
        <x:v>002430.SZ</x:v>
      </x:c>
      <x:c r="D122" s="12" t="str">
        <x:v>杭氧股份</x:v>
      </x:c>
      <x:c r="E122" s="17" t="n">
        <x:v>46265</x:v>
      </x:c>
      <x:c r="F122" s="23" t="n">
        <x:v>1</x:v>
      </x:c>
      <x:c r="G122" s="12" t="str">
        <x:v>available</x:v>
      </x:c>
      <x:c r="H122" s="31" t="n">
        <x:v>26.51</x:v>
      </x:c>
      <x:c r="I122" s="31" t="n">
        <x:v>27.55</x:v>
      </x:c>
      <x:c r="J122" s="31" t="n">
        <x:v>26.26</x:v>
      </x:c>
      <x:c r="K122" s="31" t="n">
        <x:v>27.48</x:v>
      </x:c>
      <x:c r="L122" s="28" t="n">
        <x:v>0.052469999999999996</x:v>
      </x:c>
      <x:c r="M122" s="34" t="n">
        <x:v>42207736</x:v>
      </x:c>
      <x:c r="N122" s="34" t="n">
        <x:v>1137228444.6000001</x:v>
      </x:c>
      <x:c r="O122" s="28" t="n">
        <x:v>0.036589966050546874</x:v>
      </x:c>
      <x:c r="P122" s="28" t="n">
        <x:v>0.036589966050546874</x:v>
      </x:c>
      <x:c r="Q122" s="28" t="n">
        <x:v>0.03923047906450372</x:v>
      </x:c>
      <x:c r="R122" s="28" t="n">
        <x:v>-0.009430403621275119</x:v>
      </x:c>
      <x:c r="S122" s="28" t="n">
        <x:v>0</x:v>
      </x:c>
    </x:row>
    <x:row r="123" ht="19.5" customHeight="1">
      <x:c r="A123" s="14" t="str">
        <x:v>formal:2026-08-28:300910.SZ:selected</x:v>
      </x:c>
      <x:c r="B123" s="18" t="n">
        <x:v>46265</x:v>
      </x:c>
      <x:c r="C123" s="14" t="str">
        <x:v>300910.SZ</x:v>
      </x:c>
      <x:c r="D123" s="14" t="str">
        <x:v>瑞丰新材</x:v>
      </x:c>
      <x:c r="E123" s="18" t="n">
        <x:v>46265</x:v>
      </x:c>
      <x:c r="F123" s="24" t="n">
        <x:v>1</x:v>
      </x:c>
      <x:c r="G123" s="14" t="str">
        <x:v>available</x:v>
      </x:c>
      <x:c r="H123" s="32" t="n">
        <x:v>28.85</x:v>
      </x:c>
      <x:c r="I123" s="32" t="n">
        <x:v>29.38</x:v>
      </x:c>
      <x:c r="J123" s="32" t="n">
        <x:v>28.3</x:v>
      </x:c>
      <x:c r="K123" s="32" t="n">
        <x:v>29.22</x:v>
      </x:c>
      <x:c r="L123" s="29" t="n">
        <x:v>0.015993999999999998</x:v>
      </x:c>
      <x:c r="M123" s="35" t="n">
        <x:v>8377241</x:v>
      </x:c>
      <x:c r="N123" s="35" t="n">
        <x:v>242050579.15</x:v>
      </x:c>
      <x:c r="O123" s="29" t="n">
        <x:v>0.012824956672443433</x:v>
      </x:c>
      <x:c r="P123" s="29" t="n">
        <x:v>0.012824956672443433</x:v>
      </x:c>
      <x:c r="Q123" s="29" t="n">
        <x:v>0.018370883882149025</x:v>
      </x:c>
      <x:c r="R123" s="29" t="n">
        <x:v>-0.01906412478336228</x:v>
      </x:c>
      <x:c r="S123" s="29" t="n">
        <x:v>0</x:v>
      </x:c>
    </x:row>
    <x:row r="124" ht="19.5" customHeight="1">
      <x:c r="A124" s="12" t="str">
        <x:v>formal:2026-08-28:600150.SH:selected</x:v>
      </x:c>
      <x:c r="B124" s="17" t="n">
        <x:v>46265</x:v>
      </x:c>
      <x:c r="C124" s="12" t="str">
        <x:v>600150.SH</x:v>
      </x:c>
      <x:c r="D124" s="12" t="str">
        <x:v>中国船舶</x:v>
      </x:c>
      <x:c r="E124" s="17" t="n">
        <x:v>46265</x:v>
      </x:c>
      <x:c r="F124" s="23" t="n">
        <x:v>1</x:v>
      </x:c>
      <x:c r="G124" s="12" t="str">
        <x:v>available</x:v>
      </x:c>
      <x:c r="H124" s="31" t="n">
        <x:v>34.8</x:v>
      </x:c>
      <x:c r="I124" s="31" t="n">
        <x:v>34.81</x:v>
      </x:c>
      <x:c r="J124" s="31" t="n">
        <x:v>33.62</x:v>
      </x:c>
      <x:c r="K124" s="31" t="n">
        <x:v>34.08</x:v>
      </x:c>
      <x:c r="L124" s="28" t="n">
        <x:v>-0.020127000000000003</x:v>
      </x:c>
      <x:c r="M124" s="34" t="n">
        <x:v>88833272</x:v>
      </x:c>
      <x:c r="N124" s="34" t="n">
        <x:v>3024789012</x:v>
      </x:c>
      <x:c r="O124" s="28" t="n">
        <x:v>-0.020689655172413723</x:v>
      </x:c>
      <x:c r="P124" s="28" t="n">
        <x:v>-0.020689655172413723</x:v>
      </x:c>
      <x:c r="Q124" s="28" t="n">
        <x:v>0.0002873563218392938</x:v>
      </x:c>
      <x:c r="R124" s="28" t="n">
        <x:v>-0.03390804597701147</x:v>
      </x:c>
      <x:c r="S124" s="28" t="n">
        <x:v>0</x:v>
      </x:c>
    </x:row>
    <x:row r="125" ht="19.5" customHeight="1">
      <x:c r="A125" s="14" t="str">
        <x:v>formal:2026-08-28:000928.SZ:selected</x:v>
      </x:c>
      <x:c r="B125" s="18" t="n">
        <x:v>46265</x:v>
      </x:c>
      <x:c r="C125" s="14" t="str">
        <x:v>000928.SZ</x:v>
      </x:c>
      <x:c r="D125" s="14" t="str">
        <x:v>中钢国际</x:v>
      </x:c>
      <x:c r="E125" s="18" t="n">
        <x:v>46265</x:v>
      </x:c>
      <x:c r="F125" s="24" t="n">
        <x:v>1</x:v>
      </x:c>
      <x:c r="G125" s="14" t="str">
        <x:v>available</x:v>
      </x:c>
      <x:c r="H125" s="32" t="n">
        <x:v>5.35</x:v>
      </x:c>
      <x:c r="I125" s="32" t="n">
        <x:v>5.52</x:v>
      </x:c>
      <x:c r="J125" s="32" t="n">
        <x:v>5.3</x:v>
      </x:c>
      <x:c r="K125" s="32" t="n">
        <x:v>5.49</x:v>
      </x:c>
      <x:c r="L125" s="29" t="n">
        <x:v>0.033898000000000005</x:v>
      </x:c>
      <x:c r="M125" s="35" t="n">
        <x:v>40129420</x:v>
      </x:c>
      <x:c r="N125" s="35" t="n">
        <x:v>218497100.79999998</x:v>
      </x:c>
      <x:c r="O125" s="29" t="n">
        <x:v>0.026168224299065512</x:v>
      </x:c>
      <x:c r="P125" s="29" t="n">
        <x:v>0.026168224299065512</x:v>
      </x:c>
      <x:c r="Q125" s="29" t="n">
        <x:v>0.0317757009345796</x:v>
      </x:c>
      <x:c r="R125" s="29" t="n">
        <x:v>-0.009345794392523255</x:v>
      </x:c>
      <x:c r="S125" s="29" t="n">
        <x:v>0</x:v>
      </x:c>
    </x:row>
  </x:sheetData>
  <x:conditionalFormatting sqref="O2:S125">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5e911bb20de44cc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8.889999389648438" hidden="0" customWidth="1"/>
    <x:col min="3" max="3" width="31.670000076293945" hidden="0" customWidth="1"/>
    <x:col min="4" max="4" width="11.670000076293945" hidden="0" customWidth="1"/>
    <x:col min="5" max="5" width="43.33000183105469" hidden="0" customWidth="1"/>
    <x:col min="6" max="6" width="21.110000610351562" hidden="0" customWidth="1"/>
    <x:col min="7" max="7" width="16.110000610351562" hidden="0" customWidth="1"/>
    <x:col min="8" max="8" width="38.88999938964844" hidden="0" customWidth="1"/>
    <x:col min="9" max="9" width="43.33000183105469" hidden="0" customWidth="1"/>
    <x:col min="10" max="10" width="40" hidden="0" customWidth="1"/>
    <x:col min="11" max="11" width="11.670000076293945" hidden="0" customWidth="1"/>
    <x:col min="12" max="12" width="40" hidden="0" customWidth="1"/>
  </x:cols>
  <x:sheetData>
    <x:row r="1" ht="25.5" customHeight="1">
      <x:c r="A1" s="16" t="str">
        <x:v>报告分析日</x:v>
      </x:c>
      <x:c r="B1" s="19" t="str">
        <x:v>报告冻结时点</x:v>
      </x:c>
      <x:c r="C1" s="11" t="str">
        <x:v>Episode</x:v>
      </x:c>
      <x:c r="D1" s="11" t="str">
        <x:v>当前判断</x:v>
      </x:c>
      <x:c r="E1" s="11" t="str">
        <x:v>当前复盘</x:v>
      </x:c>
      <x:c r="F1" s="11" t="str">
        <x:v>弱/断链环节</x:v>
      </x:c>
      <x:c r="G1" s="11" t="str">
        <x:v>最支持解释</x:v>
      </x:c>
      <x:c r="H1" s="11" t="str">
        <x:v>替代股解释</x:v>
      </x:c>
      <x:c r="I1" s="11" t="str">
        <x:v>原始理由</x:v>
      </x:c>
      <x:c r="J1" s="11" t="str">
        <x:v>原始风险</x:v>
      </x:c>
      <x:c r="K1" s="11" t="str">
        <x:v>监控状态</x:v>
      </x:c>
      <x:c r="L1" s="11" t="str">
        <x:v>为什么报告</x:v>
      </x:c>
    </x:row>
    <x:row r="2" ht="61.5" customHeight="1">
      <x:c r="A2" s="17" t="n">
        <x:v>46259</x:v>
      </x:c>
      <x:c r="B2" s="20" t="n">
        <x:v>46260.37847222222</x:v>
      </x:c>
      <x:c r="C2" s="25" t="str">
        <x:v>formal:2026-08-21:301419.SZ:comparator</x:v>
      </x:c>
      <x:c r="D2" s="12" t="str">
        <x:v>supported</x:v>
      </x:c>
      <x:c r="E2" s="25" t="str">
        <x:v>目前相对原参与条件下跌约11%，并在市场普涨日显著跑输，支持当时不在首日追入；新半年报标题本身不足以修复收购条款和价格确认缺口。</x:v>
      </x:c>
      <x:c r="F2" s="25" t="str">
        <x:v>timing</x:v>
      </x:c>
      <x:c r="G2" s="12" t="str">
        <x:v>stock_specific_move</x:v>
      </x:c>
      <x:c r="H2" s="25" t="str">
        <x:v>当时没有留下能够严格匹配的备选股票，因此不能做可靠逐只比较。</x:v>
      </x:c>
      <x:c r="I2" s="25" t="str">
        <x:v>拟收购标的与主营直接相关，但交易仅处意向阶段且事前20日涨幅很高，因此等待首个完整交易日验证而不追入。</x:v>
      </x:c>
      <x:c r="J2" s="25" t="str">
        <x:v>事前涨幅很大，交易价格、审计评估和业绩承诺未确定，交易也可能终止。</x:v>
      </x:c>
      <x:c r="K2" s="12" t="str">
        <x:v>invalidated</x:v>
      </x:c>
      <x:c r="L2" s="25" t="str">
        <x:v>出现多份新公告且情景继续恶化，事件后的价格反应已否定首日可参与条件。</x:v>
      </x:c>
    </x:row>
    <x:row r="3" ht="61.5" customHeight="1">
      <x:c r="A3" s="18" t="n">
        <x:v>46259</x:v>
      </x:c>
      <x:c r="B3" s="21" t="n">
        <x:v>46260.37847222222</x:v>
      </x:c>
      <x:c r="C3" s="26" t="str">
        <x:v>formal:2026-08-24:601998.SH:selected</x:v>
      </x:c>
      <x:c r="D3" s="14" t="str">
        <x:v>partly_supported</x:v>
      </x:c>
      <x:c r="E3" s="26" t="str">
        <x:v>股份制银行5日广泛上涨仍在，但3日上涨面已从全体降至约三分之二，个股第一个交易日也略低于原参与条件；板块逻辑未失效，个股继续推进仍待确认。</x:v>
      </x:c>
      <x:c r="F3" s="26" t="str">
        <x:v>price_and_volume_confirmation</x:v>
      </x:c>
      <x:c r="G3" s="14" t="str">
        <x:v>industry_common_move</x:v>
      </x:c>
      <x:c r="H3" s="26" t="str">
        <x:v>中信银行目前约跌0.82%，渝农商行约跌2.28%，中信银行相对领先约1.46个百分点；这支持原相对选择，但两者都尚未形成正收益。</x:v>
      </x:c>
      <x:c r="I3" s="26" t="str">
        <x:v>股份制银行当时全部上涨且成交份额增加，中信银行是组内5日最强成员，价格、成交和相对强度都已确认。</x:v>
      </x:c>
      <x:c r="J3" s="26" t="str">
        <x:v>短期和20日涨幅已较高、价格位于60日高点，若银行轮动结束会迅速失去优势。</x:v>
      </x:c>
      <x:c r="K3" s="14" t="str">
        <x:v>routine</x:v>
      </x:c>
      <x:c r="L3" s="26" t="str">
        <x:v>到达第一个交易日检查点并出现两份新公告，需要区分程序性披露和原板块扩散逻辑。</x:v>
      </x:c>
    </x:row>
    <x:row r="4" ht="61.5" customHeight="1">
      <x:c r="A4" s="17" t="n">
        <x:v>46260</x:v>
      </x:c>
      <x:c r="B4" s="20" t="n">
        <x:v>46261.37847222222</x:v>
      </x:c>
      <x:c r="C4" s="25" t="str">
        <x:v>formal:2026-08-25:002274.SZ:selected</x:v>
      </x:c>
      <x:c r="D4" s="12" t="str">
        <x:v>insufficient_evidence</x:v>
      </x:c>
      <x:c r="E4" s="25" t="str">
        <x:v>首日价格路径缺失，不能说原判断得到支持，也不能把数据缺口当成走弱。</x:v>
      </x:c>
      <x:c r="F4" s="25" t="str">
        <x:v>execution</x:v>
      </x:c>
      <x:c r="G4" s="12" t="str">
        <x:v>unknown</x:v>
      </x:c>
      <x:c r="H4" s="25" t="str">
        <x:v>本股路径不完整，无法与当时最接近的备选作同口径比较。</x:v>
      </x:c>
      <x:c r="I4" s="25" t="str">
        <x:v>当时看中连续跑赢市场、成交明显放大并突破前高，半年利润与经营现金流改善只作经营支撑。</x:v>
      </x:c>
      <x:c r="J4" s="25" t="str">
        <x:v>财务改善此前已经预告，价格又在近期高位，最怕成交衰减后突破失败。</x:v>
      </x:c>
      <x:c r="K4" s="12" t="str">
        <x:v>routine</x:v>
      </x:c>
      <x:c r="L4" s="25" t="str">
        <x:v>到达首个交易日检查点，但关键价格路径缺失。</x:v>
      </x:c>
    </x:row>
    <x:row r="5" ht="61.5" customHeight="1">
      <x:c r="A5" s="18" t="n">
        <x:v>46260</x:v>
      </x:c>
      <x:c r="B5" s="21" t="n">
        <x:v>46261.37847222222</x:v>
      </x:c>
      <x:c r="C5" s="26" t="str">
        <x:v>formal:2026-08-21:301419.SZ:comparator</x:v>
      </x:c>
      <x:c r="D5" s="14" t="str">
        <x:v>supported</x:v>
      </x:c>
      <x:c r="E5" s="26" t="str">
        <x:v>后续显著下跌并在市场普涨时跑输，进一步支持当时不追的判断；新标题不足以修复条款和价格确认缺口。</x:v>
      </x:c>
      <x:c r="F5" s="26" t="str">
        <x:v>timing</x:v>
      </x:c>
      <x:c r="G5" s="14" t="str">
        <x:v>stock_specific_move</x:v>
      </x:c>
      <x:c r="H5" s="26" t="str">
        <x:v>缺少完整成对路径，不判断具体选股对错。</x:v>
      </x:c>
      <x:c r="I5" s="26" t="str">
        <x:v>拟收购与主营相关，但交易只到意向阶段且公告前涨幅已大，所以当时不在首日追入。</x:v>
      </x:c>
      <x:c r="J5" s="26" t="str">
        <x:v>交易价格、审计评估和业绩承诺都未确定，公告前20日又已上涨约45%。</x:v>
      </x:c>
      <x:c r="K5" s="14" t="str">
        <x:v>invalidated</x:v>
      </x:c>
      <x:c r="L5" s="26" t="str">
        <x:v>原新事件等待确认的条件已被明显价格弱势推翻。</x:v>
      </x:c>
    </x:row>
    <x:row r="6" ht="61.5" customHeight="1">
      <x:c r="A6" s="17" t="n">
        <x:v>46260</x:v>
      </x:c>
      <x:c r="B6" s="20" t="n">
        <x:v>46261.37847222222</x:v>
      </x:c>
      <x:c r="C6" s="25" t="str">
        <x:v>formal:2026-08-24:601998.SH:selected</x:v>
      </x:c>
      <x:c r="D6" s="12" t="str">
        <x:v>partly_supported</x:v>
      </x:c>
      <x:c r="E6" s="25" t="str">
        <x:v>个股涨幅不大但持续跑赢市场且成交未衰减，原判断尚未失效；行业数据缺失使最关键的板块传播环节保持未知。</x:v>
      </x:c>
      <x:c r="F6" s="25" t="str">
        <x:v>industry_follow_through</x:v>
      </x:c>
      <x:c r="G6" s="12" t="str">
        <x:v>mixed</x:v>
      </x:c>
      <x:c r="H6" s="25" t="str">
        <x:v>本股上涨0.82%，同口径备选下跌1.99%，暂时多出2.81个百分点，支持原具体选择。</x:v>
      </x:c>
      <x:c r="I6" s="25" t="str">
        <x:v>当时看中股份制银行多只股票同时上涨，中信银行又是其中价格和成交确认较强的成员。</x:v>
      </x:c>
      <x:c r="J6" s="25" t="str">
        <x:v>当时5日和20日都已上涨约11%并处近期高位，银行轮动结束会快速削弱优势。</x:v>
      </x:c>
      <x:c r="K6" s="12" t="str">
        <x:v>strengthening</x:v>
      </x:c>
      <x:c r="L6" s="25" t="str">
        <x:v>出现正式新公告，同时个股相对市场仍强。</x:v>
      </x:c>
    </x:row>
    <x:row r="7" ht="61.5" customHeight="1">
      <x:c r="A7" s="18" t="n">
        <x:v>46260</x:v>
      </x:c>
      <x:c r="B7" s="21" t="n">
        <x:v>46261.37847222222</x:v>
      </x:c>
      <x:c r="C7" s="26" t="str">
        <x:v>formal:2026-08-21:605169.SH:comparator</x:v>
      </x:c>
      <x:c r="D7" s="14" t="str">
        <x:v>contradicted</x:v>
      </x:c>
      <x:c r="E7" s="26" t="str">
        <x:v>后续14.17%的涨幅和持续跑赢市场，反证了当时对价格延续性的低估；但公告实际约束和经营弱项仍未解决。</x:v>
      </x:c>
      <x:c r="F7" s="26" t="str">
        <x:v>stock_selection</x:v>
      </x:c>
      <x:c r="G7" s="14" t="str">
        <x:v>mixed</x:v>
      </x:c>
      <x:c r="H7" s="26" t="str">
        <x:v>本股上涨14.17%，同口径被选股收平，当前明显削弱了当时的具体选股结果。</x:v>
      </x:c>
      <x:c r="I7" s="26" t="str">
        <x:v>当时认为它有一定领导强度，但公司收入利润下滑且板块共同动力较弱，所以未正式入选。</x:v>
      </x:c>
      <x:c r="J7" s="26" t="str">
        <x:v>一季度收入下降约16%、利润下降约81%，经营支撑偏弱。</x:v>
      </x:c>
      <x:c r="K7" s="14" t="str">
        <x:v>overheated</x:v>
      </x:c>
      <x:c r="L7" s="26" t="str">
        <x:v>价格快速突破并出现多项新激励公告，同时过热风险上升。</x:v>
      </x:c>
    </x:row>
    <x:row r="8" ht="61.5" customHeight="1">
      <x:c r="A8" s="17" t="n">
        <x:v>46260</x:v>
      </x:c>
      <x:c r="B8" s="20" t="n">
        <x:v>46261.37847222222</x:v>
      </x:c>
      <x:c r="C8" s="25" t="str">
        <x:v>formal:2026-08-25:002366.SZ:selected</x:v>
      </x:c>
      <x:c r="D8" s="12" t="str">
        <x:v>partly_supported</x:v>
      </x:c>
      <x:c r="E8" s="25" t="str">
        <x:v>公告确实引发显著相对市场反应，但从原行动开盘价到收盘没有进一步涨幅，可参与的后续路径仍未充分证明。</x:v>
      </x:c>
      <x:c r="F8" s="25" t="str">
        <x:v>execution</x:v>
      </x:c>
      <x:c r="G8" s="12" t="str">
        <x:v>company_change</x:v>
      </x:c>
      <x:c r="H8" s="25" t="str">
        <x:v>本股从原开盘条件到收盘持平，同口径备选上涨8.14%，本股少约8.14个百分点，具体取舍尚未占优。</x:v>
      </x:c>
      <x:c r="I8" s="25" t="str">
        <x:v>盘前首次披露了与核电装备主营相关的2.0052亿元中标通知，但只有首日出现正常成交和有效价格确认时才成立。</x:v>
      </x:c>
      <x:c r="J8" s="25" t="str">
        <x:v>中标通知不是正式合同，公司半年业绩预告仍亏损，执行和利润贡献都不确定。</x:v>
      </x:c>
      <x:c r="K8" s="12" t="str">
        <x:v>actionable_watch</x:v>
      </x:c>
      <x:c r="L8" s="25" t="str">
        <x:v>盘前新事件推荐到达首个完整交易日，必须检查实际反应。</x:v>
      </x:c>
    </x:row>
    <x:row r="9" ht="61.5" customHeight="1">
      <x:c r="A9" s="18" t="n">
        <x:v>46260</x:v>
      </x:c>
      <x:c r="B9" s="21" t="n">
        <x:v>46261.37847222222</x:v>
      </x:c>
      <x:c r="C9" s="26" t="str">
        <x:v>formal:2026-08-25:300473.SZ:selected</x:v>
      </x:c>
      <x:c r="D9" s="14" t="str">
        <x:v>supported</x:v>
      </x:c>
      <x:c r="E9" s="26" t="str">
        <x:v>首日再上涨3.08%并保持高成交和高价量效率，原独立需求得到支持；最弱环节转为快速上涨后还剩多少路径。</x:v>
      </x:c>
      <x:c r="F9" s="26" t="str">
        <x:v>remaining_room</x:v>
      </x:c>
      <x:c r="G9" s="14" t="str">
        <x:v>stock_specific_move</x:v>
      </x:c>
      <x:c r="H9" s="26" t="str">
        <x:v>本股上涨3.08%，同口径备选下跌3.37%，多出约6.45个百分点，首日结果支持原选择。</x:v>
      </x:c>
      <x:c r="I9" s="26" t="str">
        <x:v>当时看中连续跑赢市场、成交明显增加且不依赖涨停，一季度利润与经营现金流改善提供基础支撑。</x:v>
      </x:c>
      <x:c r="J9" s="26" t="str">
        <x:v>涨幅主要集中在最近3日，后续可能快速衰减。</x:v>
      </x:c>
      <x:c r="K9" s="14" t="str">
        <x:v>strengthening</x:v>
      </x:c>
      <x:c r="L9" s="26" t="str">
        <x:v>推荐后首日价格和成交延续确认原独立需求判断。</x:v>
      </x:c>
    </x:row>
    <x:row r="10" ht="61.5" customHeight="1">
      <x:c r="A10" s="17" t="n">
        <x:v>46260</x:v>
      </x:c>
      <x:c r="B10" s="20" t="n">
        <x:v>46261.37847222222</x:v>
      </x:c>
      <x:c r="C10" s="25" t="str">
        <x:v>formal:2026-08-25:603408.SH:selected</x:v>
      </x:c>
      <x:c r="D10" s="12" t="str">
        <x:v>partly_supported</x:v>
      </x:c>
      <x:c r="E10" s="25" t="str">
        <x:v>首日小幅上涨并继续跑赢市场，高成交也未立即带来回落，原趋势得到部分支持；但推进不强，还不足以证明进入新一段延续。</x:v>
      </x:c>
      <x:c r="F10" s="25" t="str">
        <x:v>price_and_volume_confirmation</x:v>
      </x:c>
      <x:c r="G10" s="12" t="str">
        <x:v>stock_specific_move</x:v>
      </x:c>
      <x:c r="H10" s="25" t="str">
        <x:v>本股上涨0.79%，同口径备选下跌5.50%，多出约6.29个百分点，首日结果支持原选择。</x:v>
      </x:c>
      <x:c r="I10" s="25" t="str">
        <x:v>当时看中不靠涨停的连续上涨、成交放大和对前高的有效突破。</x:v>
      </x:c>
      <x:c r="J10" s="25" t="str">
        <x:v>一季度利润下降约24%、经营现金流走弱，趋势若不延续就缺少经营兜底。</x:v>
      </x:c>
      <x:c r="K10" s="12" t="str">
        <x:v>actionable_watch</x:v>
      </x:c>
      <x:c r="L10" s="25" t="str">
        <x:v>推荐后首日仍有正向收盘和较高成交，但强度需延续。</x:v>
      </x:c>
    </x:row>
    <x:row r="11" ht="61.5" customHeight="1">
      <x:c r="A11" s="18" t="n">
        <x:v>46261</x:v>
      </x:c>
      <x:c r="B11" s="21" t="n">
        <x:v>46262.37847222222</x:v>
      </x:c>
      <x:c r="C11" s="26" t="str">
        <x:v>formal:2026-08-21:001301.SZ:comparator</x:v>
      </x:c>
      <x:c r="D11" s="14" t="str">
        <x:v>contradicted</x:v>
      </x:c>
      <x:c r="E11" s="26" t="str">
        <x:v>四个交易日后下跌约4.59%，近3日和5日同时明显跑输市场与行业；成交没有明显萎缩却未推动价格，原先事件后的强价格确认已被反向表现推翻。</x:v>
      </x:c>
      <x:c r="F11" s="26" t="str">
        <x:v>price_and_volume_confirmation</x:v>
      </x:c>
      <x:c r="G11" s="14" t="str">
        <x:v>stock_specific_move</x:v>
      </x:c>
      <x:c r="H11" s="26" t="str">
        <x:v>同期原推荐股上涨约1.19%，该股下跌约4.59%，而且该股最大收盘回撤约5.12%、最深跌幅约5.0%，原先不选择它的相对取舍得到支持。</x:v>
      </x:c>
      <x:c r="I11" s="26" t="str">
        <x:v>当时半年报后股价和成交反应很强，但利润、现金流和负债的反证使它不如最终推荐股稳健。</x:v>
      </x:c>
      <x:c r="J11" s="26" t="str">
        <x:v>半年利润下降约16.6%、经营现金流约为负17.23亿元，而且短期已经快速上涨。</x:v>
      </x:c>
      <x:c r="K11" s="14" t="str">
        <x:v>invalidated</x:v>
      </x:c>
      <x:c r="L11" s="26" t="str">
        <x:v>同一股票有两条内部比较记录，其中一条缺少原完整研究判断，同时出现新公告和相对强弱反转。</x:v>
      </x:c>
    </x:row>
    <x:row r="12" ht="61.5" customHeight="1">
      <x:c r="A12" s="17" t="n">
        <x:v>46261</x:v>
      </x:c>
      <x:c r="B12" s="20" t="n">
        <x:v>46262.37847222222</x:v>
      </x:c>
      <x:c r="C12" s="25" t="str">
        <x:v>formal:2026-08-25:002274.SZ:selected</x:v>
      </x:c>
      <x:c r="D12" s="12" t="str">
        <x:v>insufficient_evidence</x:v>
      </x:c>
      <x:c r="E12" s="25" t="str">
        <x:v>控股权变更继续停牌使原计划观察日无法正常参与，也没有行动日价格路径可验证原强势；这不是价格下跌，但足以使本次行动条件失效。</x:v>
      </x:c>
      <x:c r="F12" s="25" t="str">
        <x:v>execution</x:v>
      </x:c>
      <x:c r="G12" s="12" t="str">
        <x:v>unknown</x:v>
      </x:c>
      <x:c r="H12" s="25" t="str">
        <x:v>与同期比较股的配对路径不完整，不能判断具体股票选择优劣。</x:v>
      </x:c>
      <x:c r="I12" s="25" t="str">
        <x:v>当时看的是多日独立强势、成交放大和有效突破，半年经营改善只作为基础，并没有把半年报重复算成新催化。</x:v>
      </x:c>
      <x:c r="J12" s="25" t="str">
        <x:v>价格已经处在近期高位，若成交衰减，原独立需求判断会迅速减弱。</x:v>
      </x:c>
      <x:c r="K12" s="12" t="str">
        <x:v>invalidated</x:v>
      </x:c>
      <x:c r="L12" s="25" t="str">
        <x:v>出现控股权变更继续停牌公告，直接影响原计划观察日的可参与性。</x:v>
      </x:c>
    </x:row>
    <x:row r="13" ht="61.5" customHeight="1">
      <x:c r="A13" s="18" t="n">
        <x:v>46261</x:v>
      </x:c>
      <x:c r="B13" s="21" t="n">
        <x:v>46262.37847222222</x:v>
      </x:c>
      <x:c r="C13" s="26" t="str">
        <x:v>formal:2026-08-25:300473.SZ:selected</x:v>
      </x:c>
      <x:c r="D13" s="14" t="str">
        <x:v>supported</x:v>
      </x:c>
      <x:c r="E13" s="26" t="str">
        <x:v>两个交易日后上涨约8.86%，继续显著跑赢市场和行业，成交仍有效推动收盘，原独立需求得到支持；但快速上涨已经消耗部分后续空间。</x:v>
      </x:c>
      <x:c r="F13" s="26" t="str">
        <x:v>remaining_room</x:v>
      </x:c>
      <x:c r="G13" s="14" t="str">
        <x:v>stock_specific_move</x:v>
      </x:c>
      <x:c r="H13" s="26" t="str">
        <x:v>同期比较股上涨约6.29%，该股上涨约8.86%，而且该股最深跌约2.23%、比较股约5.92%，当前结果支持原先选择该股。</x:v>
      </x:c>
      <x:c r="I13" s="26" t="str">
        <x:v>当时看的是连续跑赢市场和行业、成交放大而且不依赖涨停，一季度利润和现金流改善只作为经营基础。</x:v>
      </x:c>
      <x:c r="J13" s="26" t="str">
        <x:v>涨幅集中在最近几天，如果同行不跟随或成交失效，独立强势可能迅速衰减。</x:v>
      </x:c>
      <x:c r="K13" s="14" t="str">
        <x:v>strengthening</x:v>
      </x:c>
      <x:c r="L13" s="26" t="str">
        <x:v>出现半年报等新公告，需要区分经营锚与新催化，同时复核价格强势是否仍在。</x:v>
      </x:c>
    </x:row>
    <x:row r="14" ht="61.5" customHeight="1">
      <x:c r="A14" s="17" t="n">
        <x:v>46262</x:v>
      </x:c>
      <x:c r="B14" s="20" t="n">
        <x:v>46265.38170138889</x:v>
      </x:c>
      <x:c r="C14" s="25" t="str">
        <x:v>formal:2026-08-25:002274.SZ:selected</x:v>
      </x:c>
      <x:c r="D14" s="12" t="str">
        <x:v>insufficient_evidence</x:v>
      </x:c>
      <x:c r="E14" s="25" t="str">
        <x:v>D3仍无可靠价格路径，不能把缺失数据补成上涨或下跌；对原研究而言，最关键的行动可执行性没有成立。</x:v>
      </x:c>
      <x:c r="F14" s="25" t="str">
        <x:v>execution</x:v>
      </x:c>
      <x:c r="G14" s="12" t="str">
        <x:v>unknown</x:v>
      </x:c>
      <x:c r="H14" s="25" t="str">
        <x:v>配对路径同样不完整，当前无法用收益差判断当初是否选对股票。</x:v>
      </x:c>
      <x:c r="I14" s="25" t="str">
        <x:v>形成日前个股在化工行业内出现显著多日相对强势、成交放大与突破，原逻辑依赖恢复交易后仍可正常参与。</x:v>
      </x:c>
      <x:c r="J14" s="25" t="str">
        <x:v>价格已有较大涨幅，需求可能衰减，且控制权事项带来停牌与执行不确定性。</x:v>
      </x:c>
      <x:c r="K14" s="12" t="str">
        <x:v>invalidated</x:v>
      </x:c>
      <x:c r="L14" s="25" t="str">
        <x:v>D3检查点仍缺少关键价格事实，必须明确区分数据不可得与真实弱势。</x:v>
      </x:c>
    </x:row>
    <x:row r="15" ht="61.5" customHeight="1">
      <x:c r="A15" s="18" t="n">
        <x:v>46262</x:v>
      </x:c>
      <x:c r="B15" s="21" t="n">
        <x:v>46265.38170138889</x:v>
      </x:c>
      <x:c r="C15" s="26" t="str">
        <x:v>formal:2026-08-27:000801.SZ:selected</x:v>
      </x:c>
      <x:c r="D15" s="14" t="str">
        <x:v>partly_supported</x:v>
      </x:c>
      <x:c r="E15" s="26" t="str">
        <x:v>行业覆盖仍在，但D1价格下跌约1.01%、成交未放大；新半年报只确认存在，尚不能据标题判断利好或利空。</x:v>
      </x:c>
      <x:c r="F15" s="26" t="str">
        <x:v>company_risk</x:v>
      </x:c>
      <x:c r="G15" s="14" t="str">
        <x:v>mixed</x:v>
      </x:c>
      <x:c r="H15" s="26" t="str">
        <x:v>D1收益约比配对替代股高0.16个百分点，差距过小，不足以证明当初选股明显更优。</x:v>
      </x:c>
      <x:c r="I15" s="26" t="str">
        <x:v>原研究基于小行业多数成员共同走强及个股多日相对强势，认为四川九洲是扩散中的可参与成员。</x:v>
      </x:c>
      <x:c r="J15" s="26" t="str">
        <x:v>行业样本较小且贡献集中，一季度收入增长但利润下降，扩散和经营锚都可能减弱。</x:v>
      </x:c>
      <x:c r="K15" s="14" t="str">
        <x:v>pending_confirmation</x:v>
      </x:c>
      <x:c r="L15" s="26" t="str">
        <x:v>D1既出现新正式公告，价格又未确认，需把公司事实未知与价格偏弱分开记录。</x:v>
      </x:c>
    </x:row>
    <x:row r="16" ht="61.5" customHeight="1">
      <x:c r="A16" s="17" t="n">
        <x:v>46262</x:v>
      </x:c>
      <x:c r="B16" s="20" t="n">
        <x:v>46265.38170138889</x:v>
      </x:c>
      <x:c r="C16" s="25" t="str">
        <x:v>formal:2026-08-27:000513.SZ:selected</x:v>
      </x:c>
      <x:c r="D16" s="12" t="str">
        <x:v>partly_supported</x:v>
      </x:c>
      <x:c r="E16" s="25" t="str">
        <x:v>首日基本持平但相对市场和行业占优，成交仅略高于均值且收盘效率弱，原条件只得到有限支持。</x:v>
      </x:c>
      <x:c r="F16" s="25" t="str">
        <x:v>price_and_volume_confirmation</x:v>
      </x:c>
      <x:c r="G16" s="12" t="str">
        <x:v>stock_specific_move</x:v>
      </x:c>
      <x:c r="H16" s="25" t="str">
        <x:v>首日收益约落后配对替代股2.16个百分点，当前没有证据表明所选事件股路径更优。</x:v>
      </x:c>
      <x:c r="I16" s="25" t="str">
        <x:v>原研究基于药品获批这一形成日收盘后的直接新事件，要求行动日用真实价量确认。</x:v>
      </x:c>
      <x:c r="J16" s="25" t="str">
        <x:v>事件商业化贡献尚未知，若首日只有高开或无量震荡，便不能视为市场确认。</x:v>
      </x:c>
      <x:c r="K16" s="12" t="str">
        <x:v>pending_confirmation</x:v>
      </x:c>
      <x:c r="L16" s="25" t="str">
        <x:v>这是新事件后的首个可观察交易日，必须单独记录首日反应是否达到原行动条件。</x:v>
      </x:c>
    </x:row>
    <x:row r="17" ht="61.5" customHeight="1">
      <x:c r="A17" s="18" t="n">
        <x:v>46262</x:v>
      </x:c>
      <x:c r="B17" s="21" t="n">
        <x:v>46265.38170138889</x:v>
      </x:c>
      <x:c r="C17" s="26" t="str">
        <x:v>formal:2026-08-27:301085.SZ:selected</x:v>
      </x:c>
      <x:c r="D17" s="14" t="str">
        <x:v>contradicted</x:v>
      </x:c>
      <x:c r="E17" s="26" t="str">
        <x:v>D1相对行动日开盘下跌约2.82%，原先要求的首日价格确认没有成立，不能用市场仍广泛参与为其开脱。</x:v>
      </x:c>
      <x:c r="F17" s="26" t="str">
        <x:v>price_and_volume_confirmation</x:v>
      </x:c>
      <x:c r="G17" s="14" t="str">
        <x:v>stock_specific_move</x:v>
      </x:c>
      <x:c r="H17" s="26" t="str">
        <x:v>首日约落后配对替代股4.95个百分点，现有证据明确不支持当初的个股选择。</x:v>
      </x:c>
      <x:c r="I17" s="26" t="str">
        <x:v>原研究基于形成日收盘后的合同新事件，但明确要求行动日由首日成交和收盘确认。</x:v>
      </x:c>
      <x:c r="J17" s="26" t="str">
        <x:v>合同兑现周期和利润贡献不清楚，且若首日不能形成有效收盘，事件不能转为可行动需求。</x:v>
      </x:c>
      <x:c r="K17" s="14" t="str">
        <x:v>invalidated</x:v>
      </x:c>
      <x:c r="L17" s="26" t="str">
        <x:v>首个可观察交易日直接否定了原研究所要求的行动条件。</x:v>
      </x:c>
    </x:row>
    <x:row r="18" ht="61.5" customHeight="1">
      <x:c r="A18" s="17" t="n">
        <x:v>46262</x:v>
      </x:c>
      <x:c r="B18" s="20" t="n">
        <x:v>46265.38170138889</x:v>
      </x:c>
      <x:c r="C18" s="25" t="str">
        <x:v>formal:2026-08-24:601998.SH:selected</x:v>
      </x:c>
      <x:c r="D18" s="12" t="str">
        <x:v>weakening</x:v>
      </x:c>
      <x:c r="E18" s="25" t="str">
        <x:v>个股D4仍有正收益并跑赢行业，但银行3日、5日覆盖已明显收缩，原行业扩散链条正在转弱。</x:v>
      </x:c>
      <x:c r="F18" s="25" t="str">
        <x:v>industry_follow_through</x:v>
      </x:c>
      <x:c r="G18" s="12" t="str">
        <x:v>stock_specific_move</x:v>
      </x:c>
      <x:c r="H18" s="25" t="str">
        <x:v>D4收益约领先配对替代股5.05个百分点，说明个股选择暂时较优，但不能修复行业逻辑。</x:v>
      </x:c>
      <x:c r="I18" s="25" t="str">
        <x:v>原研究认为银行板块多数成员共同走强，中信银行是扩散中的核心成员。</x:v>
      </x:c>
      <x:c r="J18" s="25" t="str">
        <x:v>板块扩散可能收缩，个股相对强势可能演变为集中脉冲或突破失败。</x:v>
      </x:c>
      <x:c r="K18" s="12" t="str">
        <x:v>overheated</x:v>
      </x:c>
      <x:c r="L18" s="25" t="str">
        <x:v>原行业逻辑变成个股集中强势，需防止把偏离行业的突破误判为扩散延续。</x:v>
      </x:c>
    </x:row>
    <x:row r="19" ht="61.5" customHeight="1">
      <x:c r="A19" s="18" t="n">
        <x:v>46262</x:v>
      </x:c>
      <x:c r="B19" s="21" t="n">
        <x:v>46265.38170138889</x:v>
      </x:c>
      <x:c r="C19" s="26" t="str">
        <x:v>formal:2026-08-26:300082.SZ:selected</x:v>
      </x:c>
      <x:c r="D19" s="14" t="str">
        <x:v>weakening</x:v>
      </x:c>
      <x:c r="E19" s="26" t="str">
        <x:v>行动后两日转为约-1.70%，形成日前的加速没有继续；当前只能保留为弱化观察，不能继续视为强确认。</x:v>
      </x:c>
      <x:c r="F19" s="26" t="str">
        <x:v>remaining_room</x:v>
      </x:c>
      <x:c r="G19" s="14" t="str">
        <x:v>stock_specific_move</x:v>
      </x:c>
      <x:c r="H19" s="26" t="str">
        <x:v>该记录没有可用配对路径，无法用替代股判断；现有结论仅来自自身行动后走弱。</x:v>
      </x:c>
      <x:c r="I19" s="26" t="str">
        <x:v>形成日前个股5日涨幅和相对强势显著，成交大幅放大且收盘推进效率接近1。</x:v>
      </x:c>
      <x:c r="J19" s="26" t="str">
        <x:v>短期涨幅和成交已高，经营现金流反证与剩余路径不足可能导致需求迅速衰减。</x:v>
      </x:c>
      <x:c r="K19" s="14" t="str">
        <x:v>routine</x:v>
      </x:c>
      <x:c r="L19" s="26" t="str">
        <x:v>情景状态发生变化，原形成日前的强需求尚未在行动后得到确认。</x:v>
      </x:c>
    </x:row>
    <x:row r="20" ht="61.5" customHeight="1">
      <x:c r="A20" s="17" t="n">
        <x:v>46262</x:v>
      </x:c>
      <x:c r="B20" s="20" t="n">
        <x:v>46265.38170138889</x:v>
      </x:c>
      <x:c r="C20" s="25" t="str">
        <x:v>formal:2026-08-27:003816.SZ:selected</x:v>
      </x:c>
      <x:c r="D20" s="12" t="str">
        <x:v>supported</x:v>
      </x:c>
      <x:c r="E20" s="25" t="str">
        <x:v>D1约上涨1.68%，最大不利路径很小、收盘效率接近1，且明显跑赢市场和行业，原价格逻辑得到首日支持。</x:v>
      </x:c>
      <x:c r="F20" s="25" t="str">
        <x:v>company_risk</x:v>
      </x:c>
      <x:c r="G20" s="12" t="str">
        <x:v>stock_specific_move</x:v>
      </x:c>
      <x:c r="H20" s="25" t="str">
        <x:v>该记录没有配对替代股，当前只能确认自身路径，不能评估选股相对优劣。</x:v>
      </x:c>
      <x:c r="I20" s="25" t="str">
        <x:v>形成日前在20日几乎未上涨的基础上出现多日相对强势、成交放大和高效率收盘，原逻辑为独立需求加速。</x:v>
      </x:c>
      <x:c r="J20" s="25" t="str">
        <x:v>一季度收入和利润同比下降，价格需求缺少经营增量配合，仍可能只是短期风格切换。</x:v>
      </x:c>
      <x:c r="K20" s="12" t="str">
        <x:v>strengthening</x:v>
      </x:c>
      <x:c r="L20" s="25" t="str">
        <x:v>D1价格、成交和收盘位置共同支持原独立需求逻辑，属于真实增强。</x:v>
      </x:c>
    </x:row>
    <x:row r="21" ht="61.5" customHeight="1">
      <x:c r="A21" s="18" t="n">
        <x:v>46265</x:v>
      </x:c>
      <x:c r="B21" s="21" t="n">
        <x:v>46266.37847222222</x:v>
      </x:c>
      <x:c r="C21" s="26" t="str">
        <x:v>formal:2026-08-24:000690.SZ:selected</x:v>
      </x:c>
      <x:c r="D21" s="14" t="str">
        <x:v>contradicted</x:v>
      </x:c>
      <x:c r="E21" s="26" t="str">
        <x:v>D5未延续形成日前的独立需求优势，且落后于配对替代股；数据限制要求保守处理。</x:v>
      </x:c>
      <x:c r="F21" s="26" t="str">
        <x:v>price_and_volume_confirmation</x:v>
      </x:c>
      <x:c r="G21" s="14" t="str">
        <x:v>mixed</x:v>
      </x:c>
      <x:c r="H21" s="26" t="str">
        <x:v>永新股份同期上涨3.94%，而宝新能源回撤0.81%，原选择优势没有兑现。</x:v>
      </x:c>
      <x:c r="I21" s="26" t="str">
        <x:v>在5日市场明显偏弱时，个股3日、5日均上涨并同时跑赢市场和电力行业，形成日成交明显放大但20日涨幅仍低，价格尚未明显透支。</x:v>
      </x:c>
      <x:c r="J21" s="26" t="str">
        <x:v>形成日单日上涨4.82%、成交放大至2.27倍，若次日没有承接，可能只是一次短促脉冲；一季度业绩增速也不高。</x:v>
      </x:c>
      <x:c r="K21" s="14" t="str">
        <x:v>invalidated</x:v>
      </x:c>
      <x:c r="L21" s="26" t="str">
        <x:v>D5检查点、相对状态变化和数据问题同时触发；原独立需求加速已被后续相对表现反证。</x:v>
      </x:c>
    </x:row>
    <x:row r="22" ht="61.5" customHeight="1">
      <x:c r="A22" s="17" t="n">
        <x:v>46265</x:v>
      </x:c>
      <x:c r="B22" s="20" t="n">
        <x:v>46266.37847222222</x:v>
      </x:c>
      <x:c r="C22" s="25" t="str">
        <x:v>formal:2026-08-21:001301.SZ:comparator</x:v>
      </x:c>
      <x:c r="D22" s="12" t="str">
        <x:v>contradicted</x:v>
      </x:c>
      <x:c r="E22" s="25" t="str">
        <x:v>D6回撤8.21%，3日和5日显著跑输市场及行业，原事件重估确认失败。</x:v>
      </x:c>
      <x:c r="F22" s="25" t="str">
        <x:v>price_and_volume_confirmation</x:v>
      </x:c>
      <x:c r="G22" s="12" t="str">
        <x:v>mixed</x:v>
      </x:c>
      <x:c r="H22" s="25" t="str">
        <x:v>配对的北矿科技同期仅回撤0.85%，尚太科技落后约7.36个百分点。</x:v>
      </x:c>
      <x:c r="I22" s="25" t="str">
        <x:v>半年报后3个交易日价格确认很强，但归母利润下降、经营现金流大额流出且负债上升，继续追涨的公司风险明显高于北矿科技。</x:v>
      </x:c>
      <x:c r="J22" s="25" t="str">
        <x:v>上半年归母利润下降约16.59%，经营现金流为-17.23亿元，5日又已上涨16.76%。</x:v>
      </x:c>
      <x:c r="K22" s="12" t="str">
        <x:v>invalidated</x:v>
      </x:c>
      <x:c r="L22" s="25" t="str">
        <x:v>两条 comparator 记录均触发数据问题，且可见价格证据已经明显反对原先事件重估或独立需求判断。</x:v>
      </x:c>
    </x:row>
    <x:row r="23" ht="61.5" customHeight="1">
      <x:c r="A23" s="18" t="n">
        <x:v>46265</x:v>
      </x:c>
      <x:c r="B23" s="21" t="n">
        <x:v>46266.37847222222</x:v>
      </x:c>
      <x:c r="C23" s="26" t="str">
        <x:v>formal:2026-08-27:000801.SZ:selected</x:v>
      </x:c>
      <x:c r="D23" s="14" t="str">
        <x:v>supported</x:v>
      </x:c>
      <x:c r="E23" s="26" t="str">
        <x:v>D2价格、成交与行业扩散共同增强；新增少数股权收购提供公司层面变化，但不能仅凭公告标题断言增厚。</x:v>
      </x:c>
      <x:c r="F23" s="26" t="str">
        <x:v>company_risk</x:v>
      </x:c>
      <x:c r="G23" s="14" t="str">
        <x:v>mixed</x:v>
      </x:c>
      <x:c r="H23" s="26" t="str">
        <x:v>配对的盾安环境同期小幅回撤，四川九洲领先约6.02个百分点。</x:v>
      </x:c>
      <x:c r="I23" s="26" t="str">
        <x:v>黑色家电二级行业满足V4广泛扩散全部条件，个股位于行业前列且价量推进完整，路径尚未明显透支。</x:v>
      </x:c>
      <x:c r="J23" s="26" t="str">
        <x:v>行业仅9只成员且前三只贡献72.09%，公司一季度收入增长但利润下降32.20%。</x:v>
      </x:c>
      <x:c r="K23" s="14" t="str">
        <x:v>strengthening</x:v>
      </x:c>
      <x:c r="L23" s="26" t="str">
        <x:v>新公司事件与行业状态变化同时出现，且价格和成交对原行业扩散逻辑给出正向确认。</x:v>
      </x:c>
    </x:row>
    <x:row r="24" ht="61.5" customHeight="1">
      <x:c r="A24" s="17" t="n">
        <x:v>46265</x:v>
      </x:c>
      <x:c r="B24" s="20" t="n">
        <x:v>46266.37847222222</x:v>
      </x:c>
      <x:c r="C24" s="25" t="str">
        <x:v>formal:2026-08-27:002111.SZ:comparator</x:v>
      </x:c>
      <x:c r="D24" s="12" t="str">
        <x:v>partly_supported</x:v>
      </x:c>
      <x:c r="E24" s="25" t="str">
        <x:v>D2价格表现转强，但新增担保公告不构成原海外订单逻辑的新增确认。</x:v>
      </x:c>
      <x:c r="F24" s="25" t="str">
        <x:v>company_risk</x:v>
      </x:c>
      <x:c r="G24" s="12" t="str">
        <x:v>mixed</x:v>
      </x:c>
      <x:c r="H24" s="25" t="str">
        <x:v>该 comparator 同期好于配对的丽珠集团约4.52个百分点，说明短线路径相对占优。</x:v>
      </x:c>
      <x:c r="I24" s="25" t="str">
        <x:v>海外合同已收预付款且业务联系直接，但约1.15亿元仅约为2025年收入的3.46%，公告前价格也未显示独立强势。</x:v>
      </x:c>
      <x:c r="J24" s="25" t="str">
        <x:v>约1.15亿元仅占2025年收入约3.46%，公告前价格没有独立强势。</x:v>
      </x:c>
      <x:c r="K24" s="12" t="str">
        <x:v>strengthening</x:v>
      </x:c>
      <x:c r="L24" s="25" t="str">
        <x:v>新公告和价格情景变化触发复核；订单逻辑获得部分价格支持，但新公告本身不强化收入。</x:v>
      </x:c>
    </x:row>
    <x:row r="25" ht="61.5" customHeight="1">
      <x:c r="A25" s="18" t="n">
        <x:v>46265</x:v>
      </x:c>
      <x:c r="B25" s="21" t="n">
        <x:v>46266.37847222222</x:v>
      </x:c>
      <x:c r="C25" s="26" t="str">
        <x:v>formal:2026-08-25:002366.SZ:selected</x:v>
      </x:c>
      <x:c r="D25" s="14" t="str">
        <x:v>contradicted</x:v>
      </x:c>
      <x:c r="E25" s="26" t="str">
        <x:v>D4仍低于行动日开盘且明显弱于市场、行业和配对股；半年报更正增加信息风险。</x:v>
      </x:c>
      <x:c r="F25" s="26" t="str">
        <x:v>price_and_volume_confirmation</x:v>
      </x:c>
      <x:c r="G25" s="14" t="str">
        <x:v>stock_specific_move</x:v>
      </x:c>
      <x:c r="H25" s="26" t="str">
        <x:v>艾可蓝同期上涨28.59%，融发核电落后约30.51个百分点，原优选结果已被显著反证。</x:v>
      </x:c>
      <x:c r="I25" s="26" t="str">
        <x:v>子公司取得2.0052亿元核电管道合同中标通知，属于主营业务直接相关的盘前实质新信息，但正式合同尚未签署，必须等待行动日首个可交易时段的价格和成交确认。</x:v>
      </x:c>
      <x:c r="J25" s="26" t="str">
        <x:v>中标通知并非正式合同，半年业绩预告仍亏损，执行及利润贡献不确定。</x:v>
      </x:c>
      <x:c r="K25" s="14" t="str">
        <x:v>invalidated</x:v>
      </x:c>
      <x:c r="L25" s="26" t="str">
        <x:v>新增更正公告要求重审公司证据，同时后续价格没有满足原首日健康确认条件。</x:v>
      </x:c>
    </x:row>
    <x:row r="26" ht="61.5" customHeight="1">
      <x:c r="A26" s="17" t="n">
        <x:v>46265</x:v>
      </x:c>
      <x:c r="B26" s="20" t="n">
        <x:v>46266.37847222222</x:v>
      </x:c>
      <x:c r="C26" s="25" t="str">
        <x:v>formal:2026-08-27:003816.SZ:selected</x:v>
      </x:c>
      <x:c r="D26" s="12" t="str">
        <x:v>supported</x:v>
      </x:c>
      <x:c r="E26" s="25" t="str">
        <x:v>D2继续上涨并跑赢市场和行业，原价格逻辑得到延续；中报标题本身尚不能消除经营风险。</x:v>
      </x:c>
      <x:c r="F26" s="25" t="str">
        <x:v>company_risk</x:v>
      </x:c>
      <x:c r="G26" s="12" t="str">
        <x:v>stock_specific_move</x:v>
      </x:c>
      <x:c r="H26" s="25" t="str">
        <x:v>该记录没有可用配对对象，结论来自自身多日相对表现。</x:v>
      </x:c>
      <x:c r="I26" s="25" t="str">
        <x:v>20日几乎未上涨的基础上，3日和5日显著跑赢市场，成交放大仍能高效率推进收盘，剩余路径优于同类价格候选。</x:v>
      </x:c>
      <x:c r="J26" s="25" t="str">
        <x:v>一季度收入和归母净利润同比下降，价格需求尚无经营增量配合。</x:v>
      </x:c>
      <x:c r="K26" s="12" t="str">
        <x:v>strengthening</x:v>
      </x:c>
      <x:c r="L26" s="25" t="str">
        <x:v>新中报公告出现，同时价格继续支持原独立需求加速判断。</x:v>
      </x:c>
    </x:row>
    <x:row r="27" ht="61.5" customHeight="1">
      <x:c r="A27" s="18" t="n">
        <x:v>46265</x:v>
      </x:c>
      <x:c r="B27" s="21" t="n">
        <x:v>46266.37847222222</x:v>
      </x:c>
      <x:c r="C27" s="26" t="str">
        <x:v>formal:2026-08-27:301085.SZ:selected</x:v>
      </x:c>
      <x:c r="D27" s="14" t="str">
        <x:v>contradicted</x:v>
      </x:c>
      <x:c r="E27" s="26" t="str">
        <x:v>新增合同文件强化了事件真实性，但D2仍未回到行动日开盘之上，原行动条件保持失效。</x:v>
      </x:c>
      <x:c r="F27" s="26" t="str">
        <x:v>price_and_volume_confirmation</x:v>
      </x:c>
      <x:c r="G27" s="14" t="str">
        <x:v>stock_specific_move</x:v>
      </x:c>
      <x:c r="H27" s="26" t="str">
        <x:v>配对的粤万年青同期回撤4.34%，亚康股份相对少跌约2.36个百分点，但仍不能逆转自身确认失败。</x:v>
      </x:c>
      <x:c r="I27" s="26" t="str">
        <x:v>五年9.2544亿元算力服务合同相对公司既有收入具有实质性，合同已生效且按月预付，但匿名客户和长履约期要求行动日价格确认。</x:v>
      </x:c>
      <x:c r="J27" s="26" t="str">
        <x:v>客户匿名、履约期长、交付验收存在不确定性，公司2025年仍亏损且公告前成交偏低。</x:v>
      </x:c>
      <x:c r="K27" s="14" t="str">
        <x:v>invalidated</x:v>
      </x:c>
      <x:c r="L27" s="26" t="str">
        <x:v>合同披露链新增正式文件，但原行动条件已失败，不能用后续公告回写为当时已确认。</x:v>
      </x:c>
    </x:row>
  </x:sheetData>
  <x:pageMargins left="0.7" right="0.7" top="0.75" bottom="0.75" header="0.3" footer="0.3"/>
  <x:tableParts count="1">
    <x:tablePart xmlns:r="http://schemas.openxmlformats.org/officeDocument/2006/relationships" r:id="Rd4fd2377b05e4dc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6.110000610351562" hidden="0" customWidth="1"/>
    <x:col min="3" max="3" width="9.109999656677246" hidden="0" customWidth="1"/>
    <x:col min="4" max="4" width="9.109999656677246" hidden="0" customWidth="1"/>
    <x:col min="5" max="5" width="9.109999656677246" hidden="0" customWidth="1"/>
    <x:col min="6" max="6" width="9.109999656677246" hidden="0" customWidth="1"/>
    <x:col min="7" max="7" width="9.109999656677246" hidden="0" customWidth="1"/>
    <x:col min="8" max="8" width="9.109999656677246" hidden="0" customWidth="1"/>
    <x:col min="9" max="9" width="9.779999732971191" hidden="0" customWidth="1"/>
    <x:col min="10" max="10" width="9.779999732971191" hidden="0" customWidth="1"/>
    <x:col min="11" max="11" width="14.4399995803833" hidden="0" customWidth="1"/>
    <x:col min="12" max="12" width="10" hidden="0" customWidth="1"/>
    <x:col min="13" max="13" width="11.670000076293945" hidden="0" customWidth="1"/>
    <x:col min="14" max="14" width="7.78000020980835" hidden="0" customWidth="1"/>
    <x:col min="15" max="15" width="7.78000020980835" hidden="0" customWidth="1"/>
    <x:col min="16" max="16" width="11.109999656677246" hidden="0" customWidth="1"/>
    <x:col min="17" max="17" width="33.33000183105469" hidden="0" customWidth="1"/>
  </x:cols>
  <x:sheetData>
    <x:row r="1" ht="25.5" customHeight="1">
      <x:c r="A1" s="16" t="str">
        <x:v>形成日</x:v>
      </x:c>
      <x:c r="B1" s="11" t="str">
        <x:v>公式版本</x:v>
      </x:c>
      <x:c r="C1" s="27" t="str">
        <x:v>1日等权</x:v>
      </x:c>
      <x:c r="D1" s="27" t="str">
        <x:v>1日广度</x:v>
      </x:c>
      <x:c r="E1" s="27" t="str">
        <x:v>3日等权</x:v>
      </x:c>
      <x:c r="F1" s="27" t="str">
        <x:v>3日广度</x:v>
      </x:c>
      <x:c r="G1" s="27" t="str">
        <x:v>5日等权</x:v>
      </x:c>
      <x:c r="H1" s="27" t="str">
        <x:v>5日广度</x:v>
      </x:c>
      <x:c r="I1" s="27" t="str">
        <x:v>20日等权</x:v>
      </x:c>
      <x:c r="J1" s="27" t="str">
        <x:v>20日广度</x:v>
      </x:c>
      <x:c r="K1" s="33" t="str">
        <x:v>成交额</x:v>
      </x:c>
      <x:c r="L1" s="36" t="str">
        <x:v>成交/20日</x:v>
      </x:c>
      <x:c r="M1" s="27" t="str">
        <x:v>20日新高占比</x:v>
      </x:c>
      <x:c r="N1" s="22" t="str">
        <x:v>涨停数</x:v>
      </x:c>
      <x:c r="O1" s="22" t="str">
        <x:v>跌停数</x:v>
      </x:c>
      <x:c r="P1" s="11" t="str">
        <x:v>覆盖状态</x:v>
      </x:c>
      <x:c r="Q1" s="11" t="str">
        <x:v>限制</x:v>
      </x:c>
    </x:row>
    <x:row r="2" ht="31.5" customHeight="1">
      <x:c r="A2" s="17" t="n">
        <x:v>46253</x:v>
      </x:c>
      <x:c r="B2" s="12" t="str">
        <x:v>market-context-v3</x:v>
      </x:c>
      <x:c r="C2" s="28" t="n">
        <x:v>-0.03909950178679967</x:v>
      </x:c>
      <x:c r="D2" s="28" t="n">
        <x:v>0.08774721527619914</x:v>
      </x:c>
      <x:c r="E2" s="28" t="n">
        <x:v>-0.02471163936884246</x:v>
      </x:c>
      <x:c r="F2" s="28" t="n">
        <x:v>0.20804911323328787</x:v>
      </x:c>
      <x:c r="G2" s="28" t="n">
        <x:v>-0.03503329062281828</x:v>
      </x:c>
      <x:c r="H2" s="28" t="n">
        <x:v>0.16238344325676599</x:v>
      </x:c>
      <x:c r="I2" s="28" t="n">
        <x:v>0.08429664595015061</x:v>
      </x:c>
      <x:c r="J2" s="28" t="n">
        <x:v>0.7878442977464147</x:v>
      </x:c>
      <x:c r="K2" s="34" t="n">
        <x:v>2056406705802.4897</x:v>
      </x:c>
      <x:c r="L2" s="37" t="n">
        <x:v>1.061241168282338</x:v>
      </x:c>
      <x:c r="M2" s="28" t="n">
        <x:v>0.03469527505135814</x:v>
      </x:c>
      <x:c r="N2" s="23" t="n">
        <x:v>37</x:v>
      </x:c>
      <x:c r="O2" s="23" t="n">
        <x:v>129</x:v>
      </x:c>
      <x:c r="P2" s="12" t="str">
        <x:v>complete</x:v>
      </x:c>
      <x:c r="Q2" s="25" t="str"/>
    </x:row>
    <x:row r="3" ht="31.5" customHeight="1">
      <x:c r="A3" s="18" t="n">
        <x:v>46254</x:v>
      </x:c>
      <x:c r="B3" s="14" t="str">
        <x:v>market-context-v3</x:v>
      </x:c>
      <x:c r="C3" s="29" t="n">
        <x:v>0.012805440494376857</x:v>
      </x:c>
      <x:c r="D3" s="29" t="n">
        <x:v>0.7489768076398363</x:v>
      </x:c>
      <x:c r="E3" s="29" t="n">
        <x:v>-0.028726686339372733</x:v>
      </x:c>
      <x:c r="F3" s="29" t="n">
        <x:v>0.23174891971798953</x:v>
      </x:c>
      <x:c r="G3" s="29" t="n">
        <x:v>-0.012079293989974772</x:v>
      </x:c>
      <x:c r="H3" s="29" t="n">
        <x:v>0.35819877188992494</x:v>
      </x:c>
      <x:c r="I3" s="29" t="n">
        <x:v>0.07624708471139957</x:v>
      </x:c>
      <x:c r="J3" s="29" t="n">
        <x:v>0.7656570257344568</x:v>
      </x:c>
      <x:c r="K3" s="35" t="n">
        <x:v>1718843341778.06</x:v>
      </x:c>
      <x:c r="L3" s="38" t="n">
        <x:v>0.8904576975490472</x:v>
      </x:c>
      <x:c r="M3" s="29" t="n">
        <x:v>0.07351598173515982</x:v>
      </x:c>
      <x:c r="N3" s="24" t="n">
        <x:v>70</x:v>
      </x:c>
      <x:c r="O3" s="24" t="n">
        <x:v>11</x:v>
      </x:c>
      <x:c r="P3" s="14" t="str">
        <x:v>complete</x:v>
      </x:c>
      <x:c r="Q3" s="26" t="str"/>
    </x:row>
    <x:row r="4" ht="31.5" customHeight="1">
      <x:c r="A4" s="17" t="n">
        <x:v>46255</x:v>
      </x:c>
      <x:c r="B4" s="12" t="str">
        <x:v>market-context-v3</x:v>
      </x:c>
      <x:c r="C4" s="28" t="n">
        <x:v>-0.0006994350784589247</x:v>
      </x:c>
      <x:c r="D4" s="28" t="n">
        <x:v>0.45373948624687427</x:v>
      </x:c>
      <x:c r="E4" s="28" t="n">
        <x:v>-0.027921358645415825</x:v>
      </x:c>
      <x:c r="F4" s="28" t="n">
        <x:v>0.16712141882673942</x:v>
      </x:c>
      <x:c r="G4" s="28" t="n">
        <x:v>-0.013441270185832237</x:v>
      </x:c>
      <x:c r="H4" s="28" t="n">
        <x:v>0.32476688651353197</x:v>
      </x:c>
      <x:c r="I4" s="28" t="n">
        <x:v>0.10482474106954964</x:v>
      </x:c>
      <x:c r="J4" s="28" t="n">
        <x:v>0.852425415622865</x:v>
      </x:c>
      <x:c r="K4" s="34" t="n">
        <x:v>1576042629004.17</x:v>
      </x:c>
      <x:c r="L4" s="37" t="n">
        <x:v>0.8176691432460084</x:v>
      </x:c>
      <x:c r="M4" s="28" t="n">
        <x:v>0.051598173515981734</x:v>
      </x:c>
      <x:c r="N4" s="23" t="n">
        <x:v>51</x:v>
      </x:c>
      <x:c r="O4" s="23" t="n">
        <x:v>14</x:v>
      </x:c>
      <x:c r="P4" s="12" t="str">
        <x:v>complete</x:v>
      </x:c>
      <x:c r="Q4" s="25" t="str"/>
    </x:row>
    <x:row r="5" ht="31.5" customHeight="1">
      <x:c r="A5" s="18" t="n">
        <x:v>46258</x:v>
      </x:c>
      <x:c r="B5" s="14" t="str">
        <x:v>market-context-v3</x:v>
      </x:c>
      <x:c r="C5" s="29" t="n">
        <x:v>-0.009897718837101404</x:v>
      </x:c>
      <x:c r="D5" s="29" t="n">
        <x:v>0.2841554898840646</x:v>
      </x:c>
      <x:c r="E5" s="29" t="n">
        <x:v>0.0020322050129672796</x:v>
      </x:c>
      <x:c r="F5" s="29" t="n">
        <x:v>0.5169433704798726</x:v>
      </x:c>
      <x:c r="G5" s="29" t="n">
        <x:v>-0.03910351058981276</x:v>
      </x:c>
      <x:c r="H5" s="29" t="n">
        <x:v>0.17485220554797634</x:v>
      </x:c>
      <x:c r="I5" s="29" t="n">
        <x:v>0.061135540951850316</x:v>
      </x:c>
      <x:c r="J5" s="29" t="n">
        <x:v>0.7287015945330296</x:v>
      </x:c>
      <x:c r="K5" s="35" t="n">
        <x:v>1688658106202.4302</x:v>
      </x:c>
      <x:c r="L5" s="38" t="n">
        <x:v>0.8746783349454967</x:v>
      </x:c>
      <x:c r="M5" s="29" t="n">
        <x:v>0.04795615437314455</x:v>
      </x:c>
      <x:c r="N5" s="24" t="n">
        <x:v>46</x:v>
      </x:c>
      <x:c r="O5" s="24" t="n">
        <x:v>13</x:v>
      </x:c>
      <x:c r="P5" s="14" t="str">
        <x:v>complete</x:v>
      </x:c>
      <x:c r="Q5" s="26" t="str"/>
    </x:row>
    <x:row r="6" ht="31.5" customHeight="1">
      <x:c r="A6" s="17" t="n">
        <x:v>46259</x:v>
      </x:c>
      <x:c r="B6" s="12" t="str">
        <x:v>market-context-v3</x:v>
      </x:c>
      <x:c r="C6" s="28" t="n">
        <x:v>0.016077645703043986</x:v>
      </x:c>
      <x:c r="D6" s="28" t="n">
        <x:v>0.7837837837837838</x:v>
      </x:c>
      <x:c r="E6" s="28" t="n">
        <x:v>0.005096110347711764</x:v>
      </x:c>
      <x:c r="F6" s="28" t="n">
        <x:v>0.5754888585720782</x:v>
      </x:c>
      <x:c r="G6" s="28" t="n">
        <x:v>-0.022049091086486484</x:v>
      </x:c>
      <x:c r="H6" s="28" t="n">
        <x:v>0.34333788085493405</x:v>
      </x:c>
      <x:c r="I6" s="28" t="n">
        <x:v>0.08444091677926799</x:v>
      </x:c>
      <x:c r="J6" s="28" t="n">
        <x:v>0.8057390116146663</x:v>
      </x:c>
      <x:c r="K6" s="34" t="n">
        <x:v>1557051331351.04</x:v>
      </x:c>
      <x:c r="L6" s="37" t="n">
        <x:v>0.8086749772576669</x:v>
      </x:c>
      <x:c r="M6" s="28" t="n">
        <x:v>0.11897693537337292</x:v>
      </x:c>
      <x:c r="N6" s="23" t="n">
        <x:v>64</x:v>
      </x:c>
      <x:c r="O6" s="23" t="n">
        <x:v>2</x:v>
      </x:c>
      <x:c r="P6" s="12" t="str">
        <x:v>complete</x:v>
      </x:c>
      <x:c r="Q6" s="25" t="str"/>
    </x:row>
    <x:row r="7" ht="31.5" customHeight="1">
      <x:c r="A7" s="18" t="n">
        <x:v>46260</x:v>
      </x:c>
      <x:c r="B7" s="14" t="str">
        <x:v>market-context-v3</x:v>
      </x:c>
      <x:c r="C7" s="29" t="n">
        <x:v>0.0029724977445663332</x:v>
      </x:c>
      <x:c r="D7" s="29" t="n">
        <x:v>0.5423574835339541</x:v>
      </x:c>
      <x:c r="E7" s="29" t="n">
        <x:v>0.008871263551195115</x:v>
      </x:c>
      <x:c r="F7" s="29" t="n">
        <x:v>0.6275</x:v>
      </x:c>
      <x:c r="G7" s="29" t="n">
        <x:v>0.020970583305156457</x:v>
      </x:c>
      <x:c r="H7" s="29" t="n">
        <x:v>0.6980445657116872</x:v>
      </x:c>
      <x:c r="I7" s="29" t="n">
        <x:v>0.07359457451391821</x:v>
      </x:c>
      <x:c r="J7" s="29" t="n">
        <x:v>0.7565474834889547</x:v>
      </x:c>
      <x:c r="K7" s="35" t="n">
        <x:v>1541183552358.21</x:v>
      </x:c>
      <x:c r="L7" s="38" t="n">
        <x:v>0.8078159780974292</x:v>
      </x:c>
      <x:c r="M7" s="29" t="n">
        <x:v>0.11498973305954825</x:v>
      </x:c>
      <x:c r="N7" s="24" t="n">
        <x:v>51</x:v>
      </x:c>
      <x:c r="O7" s="24" t="n">
        <x:v>0</x:v>
      </x:c>
      <x:c r="P7" s="14" t="str">
        <x:v>complete</x:v>
      </x:c>
      <x:c r="Q7" s="26" t="str"/>
    </x:row>
    <x:row r="8" ht="31.5" customHeight="1">
      <x:c r="A8" s="17" t="n">
        <x:v>46261</x:v>
      </x:c>
      <x:c r="B8" s="12" t="str">
        <x:v>market-context-v3</x:v>
      </x:c>
      <x:c r="C8" s="28" t="n">
        <x:v>0.010909474017911786</x:v>
      </x:c>
      <x:c r="D8" s="28" t="n">
        <x:v>0.6059023836549375</x:v>
      </x:c>
      <x:c r="E8" s="28" t="n">
        <x:v>0.030117192837323357</x:v>
      </x:c>
      <x:c r="F8" s="28" t="n">
        <x:v>0.8308356039963669</x:v>
      </x:c>
      <x:c r="G8" s="28" t="n">
        <x:v>0.019001521238192216</x:v>
      </x:c>
      <x:c r="H8" s="28" t="n">
        <x:v>0.6699249829506706</x:v>
      </x:c>
      <x:c r="I8" s="28" t="n">
        <x:v>0.10612211447654063</x:v>
      </x:c>
      <x:c r="J8" s="28" t="n">
        <x:v>0.7791173794358508</x:v>
      </x:c>
      <x:c r="K8" s="34" t="n">
        <x:v>1788170221845.9897</x:v>
      </x:c>
      <x:c r="L8" s="37" t="n">
        <x:v>0.9410934876985183</x:v>
      </x:c>
      <x:c r="M8" s="28" t="n">
        <x:v>0.12636861313868614</x:v>
      </x:c>
      <x:c r="N8" s="23" t="n">
        <x:v>73</x:v>
      </x:c>
      <x:c r="O8" s="23" t="n">
        <x:v>3</x:v>
      </x:c>
      <x:c r="P8" s="12" t="str">
        <x:v>complete</x:v>
      </x:c>
      <x:c r="Q8" s="25" t="str"/>
    </x:row>
    <x:row r="9" ht="31.5" customHeight="1">
      <x:c r="A9" s="18" t="n">
        <x:v>46262</x:v>
      </x:c>
      <x:c r="B9" s="14" t="str">
        <x:v>market-context-v3</x:v>
      </x:c>
      <x:c r="C9" s="29" t="n">
        <x:v>0.003603531274098315</x:v>
      </x:c>
      <x:c r="D9" s="29" t="n">
        <x:v>0.5627695800227015</x:v>
      </x:c>
      <x:c r="E9" s="29" t="n">
        <x:v>0.01751491759483651</x:v>
      </x:c>
      <x:c r="F9" s="29" t="n">
        <x:v>0.6876419809177646</x:v>
      </x:c>
      <x:c r="G9" s="29" t="n">
        <x:v>0.023435329983688694</x:v>
      </x:c>
      <x:c r="H9" s="29" t="n">
        <x:v>0.7065242100477381</x:v>
      </x:c>
      <x:c r="I9" s="29" t="n">
        <x:v>0.08307742466196184</x:v>
      </x:c>
      <x:c r="J9" s="29" t="n">
        <x:v>0.7445404913557779</x:v>
      </x:c>
      <x:c r="K9" s="35" t="n">
        <x:v>1792063846344.0999</x:v>
      </x:c>
      <x:c r="L9" s="38" t="n">
        <x:v>0.9507956875458121</x:v>
      </x:c>
      <x:c r="M9" s="29" t="n">
        <x:v>0.17833523375142532</x:v>
      </x:c>
      <x:c r="N9" s="24" t="n">
        <x:v>79</x:v>
      </x:c>
      <x:c r="O9" s="24" t="n">
        <x:v>2</x:v>
      </x:c>
      <x:c r="P9" s="14" t="str">
        <x:v>complete</x:v>
      </x:c>
      <x:c r="Q9" s="26" t="str"/>
    </x:row>
  </x:sheetData>
  <x:pageMargins left="0.7" right="0.7" top="0.75" bottom="0.75" header="0.3" footer="0.3"/>
  <x:tableParts count="1">
    <x:tablePart xmlns:r="http://schemas.openxmlformats.org/officeDocument/2006/relationships" r:id="R930889515a3e4db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8.890000343322754" hidden="0" customWidth="1"/>
    <x:col min="3" max="3" width="10.220000267028809" hidden="0" customWidth="1"/>
    <x:col min="4" max="4" width="12.220000267028809" hidden="0" customWidth="1"/>
    <x:col min="5" max="5" width="6.440000057220459" hidden="0" customWidth="1"/>
    <x:col min="6" max="6" width="7.78000020980835" hidden="0" customWidth="1"/>
    <x:col min="7" max="7" width="9.109999656677246" hidden="0" customWidth="1"/>
    <x:col min="8" max="8" width="9.109999656677246" hidden="0" customWidth="1"/>
    <x:col min="9" max="9" width="9.109999656677246" hidden="0" customWidth="1"/>
    <x:col min="10" max="10" width="9.109999656677246" hidden="0" customWidth="1"/>
    <x:col min="11" max="11" width="9.109999656677246" hidden="0" customWidth="1"/>
    <x:col min="12" max="12" width="9.109999656677246" hidden="0" customWidth="1"/>
    <x:col min="13" max="13" width="9.109999656677246" hidden="0" customWidth="1"/>
    <x:col min="14" max="14" width="13.329999923706055" hidden="0" customWidth="1"/>
    <x:col min="15" max="15" width="10.5600004196167" hidden="0" customWidth="1"/>
    <x:col min="16" max="16" width="11.109999656677246" hidden="0" customWidth="1"/>
    <x:col min="17" max="17" width="33.33000183105469" hidden="0" customWidth="1"/>
  </x:cols>
  <x:sheetData>
    <x:row r="1" ht="25.5" customHeight="1">
      <x:c r="A1" s="16" t="str">
        <x:v>形成日</x:v>
      </x:c>
      <x:c r="B1" s="11" t="str">
        <x:v>类型</x:v>
      </x:c>
      <x:c r="C1" s="11" t="str">
        <x:v>代码</x:v>
      </x:c>
      <x:c r="D1" s="11" t="str">
        <x:v>名称</x:v>
      </x:c>
      <x:c r="E1" s="11" t="str">
        <x:v>层级</x:v>
      </x:c>
      <x:c r="F1" s="22" t="str">
        <x:v>成员数</x:v>
      </x:c>
      <x:c r="G1" s="27" t="str">
        <x:v>覆盖率</x:v>
      </x:c>
      <x:c r="H1" s="27" t="str">
        <x:v>1日相对</x:v>
      </x:c>
      <x:c r="I1" s="27" t="str">
        <x:v>1日广度</x:v>
      </x:c>
      <x:c r="J1" s="27" t="str">
        <x:v>3日相对</x:v>
      </x:c>
      <x:c r="K1" s="27" t="str">
        <x:v>3日广度</x:v>
      </x:c>
      <x:c r="L1" s="27" t="str">
        <x:v>5日相对</x:v>
      </x:c>
      <x:c r="M1" s="27" t="str">
        <x:v>5日广度</x:v>
      </x:c>
      <x:c r="N1" s="39" t="str">
        <x:v>5日换手份额变化</x:v>
      </x:c>
      <x:c r="O1" s="27" t="str">
        <x:v>前三正贡献</x:v>
      </x:c>
      <x:c r="P1" s="11" t="str">
        <x:v>覆盖状态</x:v>
      </x:c>
      <x:c r="Q1" s="11" t="str">
        <x:v>限制</x:v>
      </x:c>
    </x:row>
    <x:row r="2" ht="28.5" customHeight="1">
      <x:c r="A2" s="17" t="n">
        <x:v>46254</x:v>
      </x:c>
      <x:c r="B2" s="12" t="str">
        <x:v>industry</x:v>
      </x:c>
      <x:c r="C2" s="12" t="str">
        <x:v>801012.SI</x:v>
      </x:c>
      <x:c r="D2" s="12" t="str">
        <x:v>农产品加工</x:v>
      </x:c>
      <x:c r="E2" s="12" t="str">
        <x:v>L2</x:v>
      </x:c>
      <x:c r="F2" s="23" t="n">
        <x:v>28</x:v>
      </x:c>
      <x:c r="G2" s="28" t="n">
        <x:v>0.9285714285714286</x:v>
      </x:c>
      <x:c r="H2" s="28" t="n">
        <x:v>0.012761300672745177</x:v>
      </x:c>
      <x:c r="I2" s="28" t="n">
        <x:v>0.7307692307692307</x:v>
      </x:c>
      <x:c r="J2" s="28" t="n">
        <x:v>0.06714436285850611</x:v>
      </x:c>
      <x:c r="K2" s="28" t="n">
        <x:v>0.5769230769230769</x:v>
      </x:c>
      <x:c r="L2" s="28" t="n">
        <x:v>0.0709329522294935</x:v>
      </x:c>
      <x:c r="M2" s="28" t="n">
        <x:v>0.6153846153846154</x:v>
      </x:c>
      <x:c r="N2" s="40"/>
      <x:c r="O2" s="28" t="n">
        <x:v>0.46071698324994237</x:v>
      </x:c>
      <x:c r="P2" s="12" t="str">
        <x:v>complete_with_declared_gaps</x:v>
      </x:c>
      <x:c r="Q2" s="25" t="str">
        <x:v>intraday member, time-point, open/close-anchor, or price coverage is incomplete</x:v>
      </x:c>
    </x:row>
    <x:row r="3" ht="28.5" customHeight="1">
      <x:c r="A3" s="18" t="n">
        <x:v>46254</x:v>
      </x:c>
      <x:c r="B3" s="14" t="str">
        <x:v>industry</x:v>
      </x:c>
      <x:c r="C3" s="14" t="str">
        <x:v>801053.SI</x:v>
      </x:c>
      <x:c r="D3" s="14" t="str">
        <x:v>贵金属</x:v>
      </x:c>
      <x:c r="E3" s="14" t="str">
        <x:v>L2</x:v>
      </x:c>
      <x:c r="F3" s="24" t="n">
        <x:v>14</x:v>
      </x:c>
      <x:c r="G3" s="29" t="n">
        <x:v>0.7142857142857143</x:v>
      </x:c>
      <x:c r="H3" s="29"/>
      <x:c r="I3" s="29"/>
      <x:c r="J3" s="29"/>
      <x:c r="K3" s="29"/>
      <x:c r="L3" s="29"/>
      <x:c r="M3" s="29"/>
      <x:c r="N3" s="41"/>
      <x:c r="O3" s="29" t="n">
        <x:v>0.42208866859779404</x:v>
      </x:c>
      <x:c r="P3" s="14" t="str">
        <x:v>limited</x:v>
      </x:c>
      <x:c r="Q3" s="26" t="str">
        <x:v>current member coverage 71.43% is below required 80%; current stock-limit coverage is below required 80%; intraday member, time-point, open/close-anchor, or price coverage is incomplete; one or more 1/3/5/20-session sector windows are incomplete; 20/60-session new-high member coverage is incomplete</x:v>
      </x:c>
    </x:row>
    <x:row r="4" ht="28.5" customHeight="1">
      <x:c r="A4" s="17" t="n">
        <x:v>46254</x:v>
      </x:c>
      <x:c r="B4" s="12" t="str">
        <x:v>industry</x:v>
      </x:c>
      <x:c r="C4" s="12" t="str">
        <x:v>801054.SI</x:v>
      </x:c>
      <x:c r="D4" s="12" t="str">
        <x:v>小金属</x:v>
      </x:c>
      <x:c r="E4" s="12" t="str">
        <x:v>L2</x:v>
      </x:c>
      <x:c r="F4" s="23" t="n">
        <x:v>32</x:v>
      </x:c>
      <x:c r="G4" s="28" t="n">
        <x:v>0.875</x:v>
      </x:c>
      <x:c r="H4" s="28" t="n">
        <x:v>-0.010233909209742684</x:v>
      </x:c>
      <x:c r="I4" s="28" t="n">
        <x:v>0.35714285714285715</x:v>
      </x:c>
      <x:c r="J4" s="28" t="n">
        <x:v>-0.03228410005330956</x:v>
      </x:c>
      <x:c r="K4" s="28" t="n">
        <x:v>0.07142857142857142</x:v>
      </x:c>
      <x:c r="L4" s="28" t="n">
        <x:v>-0.0026050372547054834</x:v>
      </x:c>
      <x:c r="M4" s="28" t="n">
        <x:v>0.21428571428571427</x:v>
      </x:c>
      <x:c r="N4" s="40"/>
      <x:c r="O4" s="28" t="n">
        <x:v>0.6147657503647883</x:v>
      </x:c>
      <x:c r="P4" s="12" t="str">
        <x:v>complete_with_declared_gaps</x:v>
      </x:c>
      <x:c r="Q4" s="25" t="str">
        <x:v>intraday member, time-point, open/close-anchor, or price coverage is incomplete</x:v>
      </x:c>
    </x:row>
    <x:row r="5" ht="28.5" customHeight="1">
      <x:c r="A5" s="18" t="n">
        <x:v>46254</x:v>
      </x:c>
      <x:c r="B5" s="14" t="str">
        <x:v>industry</x:v>
      </x:c>
      <x:c r="C5" s="14" t="str">
        <x:v>801055.SI</x:v>
      </x:c>
      <x:c r="D5" s="14" t="str">
        <x:v>工业金属</x:v>
      </x:c>
      <x:c r="E5" s="14" t="str">
        <x:v>L2</x:v>
      </x:c>
      <x:c r="F5" s="24" t="n">
        <x:v>65</x:v>
      </x:c>
      <x:c r="G5" s="29" t="n">
        <x:v>0.9230769230769231</x:v>
      </x:c>
      <x:c r="H5" s="29" t="n">
        <x:v>0.005046552229934507</x:v>
      </x:c>
      <x:c r="I5" s="29" t="n">
        <x:v>0.6166666666666667</x:v>
      </x:c>
      <x:c r="J5" s="29" t="n">
        <x:v>-0.0016041692800932358</x:v>
      </x:c>
      <x:c r="K5" s="29" t="n">
        <x:v>0.11666666666666667</x:v>
      </x:c>
      <x:c r="L5" s="29" t="n">
        <x:v>0.022218566469750522</x:v>
      </x:c>
      <x:c r="M5" s="29" t="n">
        <x:v>0.48333333333333334</x:v>
      </x:c>
      <x:c r="N5" s="41"/>
      <x:c r="O5" s="29" t="n">
        <x:v>0.28765536871834724</x:v>
      </x:c>
      <x:c r="P5" s="14" t="str">
        <x:v>complete_with_declared_gaps</x:v>
      </x:c>
      <x:c r="Q5" s="26" t="str">
        <x:v>intraday member, time-point, open/close-anchor, or price coverage is incomplete</x:v>
      </x:c>
    </x:row>
    <x:row r="6" ht="28.5" customHeight="1">
      <x:c r="A6" s="17" t="n">
        <x:v>46254</x:v>
      </x:c>
      <x:c r="B6" s="12" t="str">
        <x:v>industry</x:v>
      </x:c>
      <x:c r="C6" s="12" t="str">
        <x:v>801072.SI</x:v>
      </x:c>
      <x:c r="D6" s="12" t="str">
        <x:v>通用设备</x:v>
      </x:c>
      <x:c r="E6" s="12" t="str">
        <x:v>L2</x:v>
      </x:c>
      <x:c r="F6" s="23" t="n">
        <x:v>253</x:v>
      </x:c>
      <x:c r="G6" s="28" t="n">
        <x:v>0.9644268774703557</x:v>
      </x:c>
      <x:c r="H6" s="28" t="n">
        <x:v>0.01046766641592206</x:v>
      </x:c>
      <x:c r="I6" s="28" t="n">
        <x:v>0.7377049180327869</x:v>
      </x:c>
      <x:c r="J6" s="28" t="n">
        <x:v>-0.015217536182248123</x:v>
      </x:c>
      <x:c r="K6" s="28" t="n">
        <x:v>0.11885245901639344</x:v>
      </x:c>
      <x:c r="L6" s="28" t="n">
        <x:v>0.0006211142581255286</x:v>
      </x:c>
      <x:c r="M6" s="28" t="n">
        <x:v>0.3237704918032787</x:v>
      </x:c>
      <x:c r="N6" s="40"/>
      <x:c r="O6" s="28" t="n">
        <x:v>0.1198755432577585</x:v>
      </x:c>
      <x:c r="P6" s="12" t="str">
        <x:v>complete_with_declared_gaps</x:v>
      </x:c>
      <x:c r="Q6" s="25" t="str">
        <x:v>intraday member, time-point, open/close-anchor, or price coverage is incomplete</x:v>
      </x:c>
    </x:row>
    <x:row r="7" ht="28.5" customHeight="1">
      <x:c r="A7" s="18" t="n">
        <x:v>46254</x:v>
      </x:c>
      <x:c r="B7" s="14" t="str">
        <x:v>industry</x:v>
      </x:c>
      <x:c r="C7" s="14" t="str">
        <x:v>801074.SI</x:v>
      </x:c>
      <x:c r="D7" s="14" t="str">
        <x:v>专用设备</x:v>
      </x:c>
      <x:c r="E7" s="14" t="str">
        <x:v>L2</x:v>
      </x:c>
      <x:c r="F7" s="24" t="n">
        <x:v>207</x:v>
      </x:c>
      <x:c r="G7" s="29" t="n">
        <x:v>0.9855072463768116</x:v>
      </x:c>
      <x:c r="H7" s="29" t="n">
        <x:v>0.011937856817503308</x:v>
      </x:c>
      <x:c r="I7" s="29" t="n">
        <x:v>0.7401960784313726</x:v>
      </x:c>
      <x:c r="J7" s="29" t="n">
        <x:v>-0.0007930566840772812</x:v>
      </x:c>
      <x:c r="K7" s="29" t="n">
        <x:v>0.1568627450980392</x:v>
      </x:c>
      <x:c r="L7" s="29" t="n">
        <x:v>0.006286339009972339</x:v>
      </x:c>
      <x:c r="M7" s="29" t="n">
        <x:v>0.39215686274509803</x:v>
      </x:c>
      <x:c r="N7" s="41"/>
      <x:c r="O7" s="29" t="n">
        <x:v>0.0889151502501408</x:v>
      </x:c>
      <x:c r="P7" s="14" t="str">
        <x:v>complete_with_declared_gaps</x:v>
      </x:c>
      <x:c r="Q7" s="26" t="str">
        <x:v>intraday member, time-point, open/close-anchor, or price coverage is incomplete</x:v>
      </x:c>
    </x:row>
    <x:row r="8" ht="28.5" customHeight="1">
      <x:c r="A8" s="17" t="n">
        <x:v>46254</x:v>
      </x:c>
      <x:c r="B8" s="12" t="str">
        <x:v>industry</x:v>
      </x:c>
      <x:c r="C8" s="12" t="str">
        <x:v>801083.SI</x:v>
      </x:c>
      <x:c r="D8" s="12" t="str">
        <x:v>元件</x:v>
      </x:c>
      <x:c r="E8" s="12" t="str">
        <x:v>L2</x:v>
      </x:c>
      <x:c r="F8" s="23" t="n">
        <x:v>69</x:v>
      </x:c>
      <x:c r="G8" s="28" t="n">
        <x:v>0.9710144927536232</x:v>
      </x:c>
      <x:c r="H8" s="28" t="n">
        <x:v>0.00948300252098042</x:v>
      </x:c>
      <x:c r="I8" s="28" t="n">
        <x:v>0.7014925373134329</x:v>
      </x:c>
      <x:c r="J8" s="28" t="n">
        <x:v>-0.04047394310719869</x:v>
      </x:c>
      <x:c r="K8" s="28" t="n">
        <x:v>0.08955223880597014</x:v>
      </x:c>
      <x:c r="L8" s="28" t="n">
        <x:v>0.007242625539802877</x:v>
      </x:c>
      <x:c r="M8" s="28" t="n">
        <x:v>0.3283582089552239</x:v>
      </x:c>
      <x:c r="N8" s="40"/>
      <x:c r="O8" s="28" t="n">
        <x:v>0.2826974525755363</x:v>
      </x:c>
      <x:c r="P8" s="12" t="str">
        <x:v>complete_with_declared_gaps</x:v>
      </x:c>
      <x:c r="Q8" s="25" t="str">
        <x:v>intraday member, time-point, open/close-anchor, or price coverage is incomplete</x:v>
      </x:c>
    </x:row>
    <x:row r="9" ht="28.5" customHeight="1">
      <x:c r="A9" s="18" t="n">
        <x:v>46254</x:v>
      </x:c>
      <x:c r="B9" s="14" t="str">
        <x:v>industry</x:v>
      </x:c>
      <x:c r="C9" s="14" t="str">
        <x:v>801724.SI</x:v>
      </x:c>
      <x:c r="D9" s="14" t="str">
        <x:v>专业工程</x:v>
      </x:c>
      <x:c r="E9" s="14" t="str">
        <x:v>L2</x:v>
      </x:c>
      <x:c r="F9" s="24" t="n">
        <x:v>43</x:v>
      </x:c>
      <x:c r="G9" s="29" t="n">
        <x:v>0.9069767441860465</x:v>
      </x:c>
      <x:c r="H9" s="29" t="n">
        <x:v>0.019924434932385517</x:v>
      </x:c>
      <x:c r="I9" s="29" t="n">
        <x:v>0.8461538461538461</x:v>
      </x:c>
      <x:c r="J9" s="29" t="n">
        <x:v>0.010663459774893351</x:v>
      </x:c>
      <x:c r="K9" s="29" t="n">
        <x:v>0.23076923076923078</x:v>
      </x:c>
      <x:c r="L9" s="29" t="n">
        <x:v>0.011451023031504325</x:v>
      </x:c>
      <x:c r="M9" s="29" t="n">
        <x:v>0.46153846153846156</x:v>
      </x:c>
      <x:c r="N9" s="41"/>
      <x:c r="O9" s="29" t="n">
        <x:v>0.31605991262739397</x:v>
      </x:c>
      <x:c r="P9" s="14" t="str">
        <x:v>complete_with_declared_gaps</x:v>
      </x:c>
      <x:c r="Q9" s="26" t="str">
        <x:v>intraday member, time-point, open/close-anchor, or price coverage is incomplete</x:v>
      </x:c>
    </x:row>
    <x:row r="10" ht="28.5" customHeight="1">
      <x:c r="A10" s="17" t="n">
        <x:v>46254</x:v>
      </x:c>
      <x:c r="B10" s="12" t="str">
        <x:v>industry</x:v>
      </x:c>
      <x:c r="C10" s="12" t="str">
        <x:v>801733.SI</x:v>
      </x:c>
      <x:c r="D10" s="12" t="str">
        <x:v>其他电源设备Ⅱ</x:v>
      </x:c>
      <x:c r="E10" s="12" t="str">
        <x:v>L2</x:v>
      </x:c>
      <x:c r="F10" s="23" t="n">
        <x:v>36</x:v>
      </x:c>
      <x:c r="G10" s="28" t="n">
        <x:v>0.9166666666666666</x:v>
      </x:c>
      <x:c r="H10" s="28" t="n">
        <x:v>0.006203625279884273</x:v>
      </x:c>
      <x:c r="I10" s="28" t="n">
        <x:v>0.5757575757575758</x:v>
      </x:c>
      <x:c r="J10" s="28" t="n">
        <x:v>-0.030494965653445512</x:v>
      </x:c>
      <x:c r="K10" s="28" t="n">
        <x:v>0.06060606060606061</x:v>
      </x:c>
      <x:c r="L10" s="28" t="n">
        <x:v>-0.008172157100369434</x:v>
      </x:c>
      <x:c r="M10" s="28" t="n">
        <x:v>0.18181818181818182</x:v>
      </x:c>
      <x:c r="N10" s="40"/>
      <x:c r="O10" s="28" t="n">
        <x:v>0.2976998692746878</x:v>
      </x:c>
      <x:c r="P10" s="12" t="str">
        <x:v>complete_with_declared_gaps</x:v>
      </x:c>
      <x:c r="Q10" s="25" t="str">
        <x:v>intraday member, time-point, open/close-anchor, or price coverage is incomplete</x:v>
      </x:c>
    </x:row>
    <x:row r="11" ht="28.5" customHeight="1">
      <x:c r="A11" s="18" t="n">
        <x:v>46254</x:v>
      </x:c>
      <x:c r="B11" s="14" t="str">
        <x:v>industry</x:v>
      </x:c>
      <x:c r="C11" s="14" t="str">
        <x:v>801738.SI</x:v>
      </x:c>
      <x:c r="D11" s="14" t="str">
        <x:v>电网设备</x:v>
      </x:c>
      <x:c r="E11" s="14" t="str">
        <x:v>L2</x:v>
      </x:c>
      <x:c r="F11" s="24" t="n">
        <x:v>149</x:v>
      </x:c>
      <x:c r="G11" s="29" t="n">
        <x:v>0.9463087248322147</x:v>
      </x:c>
      <x:c r="H11" s="29" t="n">
        <x:v>0.006209390832567002</x:v>
      </x:c>
      <x:c r="I11" s="29" t="n">
        <x:v>0.6737588652482269</x:v>
      </x:c>
      <x:c r="J11" s="29" t="n">
        <x:v>-0.013447948674524368</x:v>
      </x:c>
      <x:c r="K11" s="29" t="n">
        <x:v>0.0851063829787234</x:v>
      </x:c>
      <x:c r="L11" s="29" t="n">
        <x:v>-0.01669022187516455</x:v>
      </x:c>
      <x:c r="M11" s="29" t="n">
        <x:v>0.20567375886524822</x:v>
      </x:c>
      <x:c r="N11" s="41"/>
      <x:c r="O11" s="29" t="n">
        <x:v>0.1549251806815899</x:v>
      </x:c>
      <x:c r="P11" s="14" t="str">
        <x:v>complete_with_declared_gaps</x:v>
      </x:c>
      <x:c r="Q11" s="26" t="str">
        <x:v>intraday member, time-point, open/close-anchor, or price coverage is incomplete</x:v>
      </x:c>
    </x:row>
    <x:row r="12" ht="28.5" customHeight="1">
      <x:c r="A12" s="17" t="n">
        <x:v>46254</x:v>
      </x:c>
      <x:c r="B12" s="12" t="str">
        <x:v>industry</x:v>
      </x:c>
      <x:c r="C12" s="12" t="str">
        <x:v>801963.SI</x:v>
      </x:c>
      <x:c r="D12" s="12" t="str">
        <x:v>炼化及贸易</x:v>
      </x:c>
      <x:c r="E12" s="12" t="str">
        <x:v>L2</x:v>
      </x:c>
      <x:c r="F12" s="23" t="n">
        <x:v>32</x:v>
      </x:c>
      <x:c r="G12" s="28" t="n">
        <x:v>0.9375</x:v>
      </x:c>
      <x:c r="H12" s="28" t="n">
        <x:v>0.0066393794092821125</x:v>
      </x:c>
      <x:c r="I12" s="28" t="n">
        <x:v>0.6333333333333333</x:v>
      </x:c>
      <x:c r="J12" s="28" t="n">
        <x:v>0.03687409470651244</x:v>
      </x:c>
      <x:c r="K12" s="28" t="n">
        <x:v>0.5</x:v>
      </x:c>
      <x:c r="L12" s="28" t="n">
        <x:v>0.038976454949470656</x:v>
      </x:c>
      <x:c r="M12" s="28" t="n">
        <x:v>0.6666666666666666</x:v>
      </x:c>
      <x:c r="N12" s="40"/>
      <x:c r="O12" s="28" t="n">
        <x:v>0.4121427267257097</x:v>
      </x:c>
      <x:c r="P12" s="12" t="str">
        <x:v>complete_with_declared_gaps</x:v>
      </x:c>
      <x:c r="Q12" s="25" t="str">
        <x:v>intraday member, time-point, open/close-anchor, or price coverage is incomplete</x:v>
      </x:c>
    </x:row>
    <x:row r="13" ht="28.5" customHeight="1">
      <x:c r="A13" s="18" t="n">
        <x:v>46254</x:v>
      </x:c>
      <x:c r="B13" s="14" t="str">
        <x:v>industry</x:v>
      </x:c>
      <x:c r="C13" s="14" t="str">
        <x:v>801992.SI</x:v>
      </x:c>
      <x:c r="D13" s="14" t="str">
        <x:v>航运港口</x:v>
      </x:c>
      <x:c r="E13" s="14" t="str">
        <x:v>L2</x:v>
      </x:c>
      <x:c r="F13" s="24" t="n">
        <x:v>44</x:v>
      </x:c>
      <x:c r="G13" s="29" t="n">
        <x:v>0.7954545454545454</x:v>
      </x:c>
      <x:c r="H13" s="29"/>
      <x:c r="I13" s="29"/>
      <x:c r="J13" s="29"/>
      <x:c r="K13" s="29"/>
      <x:c r="L13" s="29"/>
      <x:c r="M13" s="29"/>
      <x:c r="N13" s="41"/>
      <x:c r="O13" s="29" t="n">
        <x:v>0.5039133804065619</x:v>
      </x:c>
      <x:c r="P13" s="14" t="str">
        <x:v>limited</x:v>
      </x:c>
      <x:c r="Q13" s="26" t="str">
        <x:v>current member coverage 79.55% is below required 80%; current stock-limit coverage is below required 80%; intraday member, time-point, open/close-anchor, or price coverage is incomplete; one or more 1/3/5/20-session sector windows are incomplete; 20/60-session new-high member coverage is incomplete</x:v>
      </x:c>
    </x:row>
    <x:row r="14" ht="28.5" customHeight="1">
      <x:c r="A14" s="17" t="n">
        <x:v>46255</x:v>
      </x:c>
      <x:c r="B14" s="12" t="str">
        <x:v>industry</x:v>
      </x:c>
      <x:c r="C14" s="12" t="str">
        <x:v>801074.SI</x:v>
      </x:c>
      <x:c r="D14" s="12" t="str">
        <x:v>专用设备</x:v>
      </x:c>
      <x:c r="E14" s="12" t="str">
        <x:v>L2</x:v>
      </x:c>
      <x:c r="F14" s="23" t="n">
        <x:v>207</x:v>
      </x:c>
      <x:c r="G14" s="28" t="n">
        <x:v>0.9855072463768116</x:v>
      </x:c>
      <x:c r="H14" s="28" t="n">
        <x:v>0.00027954019461078495</x:v>
      </x:c>
      <x:c r="I14" s="28" t="n">
        <x:v>0.5490196078431373</x:v>
      </x:c>
      <x:c r="J14" s="28" t="n">
        <x:v>-0.005552057042294806</x:v>
      </x:c>
      <x:c r="K14" s="28" t="n">
        <x:v>0.15196078431372548</x:v>
      </x:c>
      <x:c r="L14" s="28" t="n">
        <x:v>0.000718073439008933</x:v>
      </x:c>
      <x:c r="M14" s="28" t="n">
        <x:v>0.35294117647058826</x:v>
      </x:c>
      <x:c r="N14" s="40"/>
      <x:c r="O14" s="28" t="n">
        <x:v>0.19381098650969078</x:v>
      </x:c>
      <x:c r="P14" s="12" t="str">
        <x:v>complete_with_declared_gaps</x:v>
      </x:c>
      <x:c r="Q14" s="25" t="str">
        <x:v>intraday member, time-point, open/close-anchor, or price coverage is incomplete</x:v>
      </x:c>
    </x:row>
    <x:row r="15" ht="28.5" customHeight="1">
      <x:c r="A15" s="18" t="n">
        <x:v>46255</x:v>
      </x:c>
      <x:c r="B15" s="14" t="str">
        <x:v>industry</x:v>
      </x:c>
      <x:c r="C15" s="14" t="str">
        <x:v>801102.SI</x:v>
      </x:c>
      <x:c r="D15" s="14" t="str">
        <x:v>通信设备</x:v>
      </x:c>
      <x:c r="E15" s="14" t="str">
        <x:v>L2</x:v>
      </x:c>
      <x:c r="F15" s="24" t="n">
        <x:v>100</x:v>
      </x:c>
      <x:c r="G15" s="29" t="n">
        <x:v>0.89</x:v>
      </x:c>
      <x:c r="H15" s="29" t="n">
        <x:v>0.008073846677803108</x:v>
      </x:c>
      <x:c r="I15" s="29" t="n">
        <x:v>0.6741573033707865</x:v>
      </x:c>
      <x:c r="J15" s="29" t="n">
        <x:v>-0.006638276908006918</x:v>
      </x:c>
      <x:c r="K15" s="29" t="n">
        <x:v>0.1797752808988764</x:v>
      </x:c>
      <x:c r="L15" s="29" t="n">
        <x:v>0.0007427166543668793</x:v>
      </x:c>
      <x:c r="M15" s="29" t="n">
        <x:v>0.33707865168539325</x:v>
      </x:c>
      <x:c r="N15" s="41"/>
      <x:c r="O15" s="29" t="n">
        <x:v>0.18193509295361085</x:v>
      </x:c>
      <x:c r="P15" s="14" t="str">
        <x:v>complete_with_declared_gaps</x:v>
      </x:c>
      <x:c r="Q15" s="26" t="str">
        <x:v>intraday member, time-point, open/close-anchor, or price coverage is incomplete</x:v>
      </x:c>
    </x:row>
    <x:row r="16" ht="28.5" customHeight="1">
      <x:c r="A16" s="17" t="n">
        <x:v>46255</x:v>
      </x:c>
      <x:c r="B16" s="12" t="str">
        <x:v>industry</x:v>
      </x:c>
      <x:c r="C16" s="12" t="str">
        <x:v>801163.SI</x:v>
      </x:c>
      <x:c r="D16" s="12" t="str">
        <x:v>燃气Ⅱ</x:v>
      </x:c>
      <x:c r="E16" s="12" t="str">
        <x:v>L2</x:v>
      </x:c>
      <x:c r="F16" s="23" t="n">
        <x:v>30</x:v>
      </x:c>
      <x:c r="G16" s="28" t="n">
        <x:v>1</x:v>
      </x:c>
      <x:c r="H16" s="28" t="n">
        <x:v>0.0031293489736378497</x:v>
      </x:c>
      <x:c r="I16" s="28" t="n">
        <x:v>0.5333333333333333</x:v>
      </x:c>
      <x:c r="J16" s="28" t="n">
        <x:v>0.009241803687696178</x:v>
      </x:c>
      <x:c r="K16" s="28" t="n">
        <x:v>0.26666666666666666</x:v>
      </x:c>
      <x:c r="L16" s="28" t="n">
        <x:v>0.023111414793300415</x:v>
      </x:c>
      <x:c r="M16" s="28" t="n">
        <x:v>0.7</x:v>
      </x:c>
      <x:c r="N16" s="40" t="n">
        <x:v>0.00009517458219885288</x:v>
      </x:c>
      <x:c r="O16" s="28" t="n">
        <x:v>0.5174615583196461</x:v>
      </x:c>
      <x:c r="P16" s="12" t="str">
        <x:v>complete_with_declared_gaps</x:v>
      </x:c>
      <x:c r="Q16" s="25" t="str">
        <x:v>intraday member, time-point, open/close-anchor, or price coverage is incomplete</x:v>
      </x:c>
    </x:row>
    <x:row r="17" ht="28.5" customHeight="1">
      <x:c r="A17" s="18" t="n">
        <x:v>46255</x:v>
      </x:c>
      <x:c r="B17" s="14" t="str">
        <x:v>industry</x:v>
      </x:c>
      <x:c r="C17" s="14" t="str">
        <x:v>801737.SI</x:v>
      </x:c>
      <x:c r="D17" s="14" t="str">
        <x:v>电池</x:v>
      </x:c>
      <x:c r="E17" s="14" t="str">
        <x:v>L2</x:v>
      </x:c>
      <x:c r="F17" s="24" t="n">
        <x:v>113</x:v>
      </x:c>
      <x:c r="G17" s="29" t="n">
        <x:v>0.9734513274336283</x:v>
      </x:c>
      <x:c r="H17" s="29" t="n">
        <x:v>0.006662919738279552</x:v>
      </x:c>
      <x:c r="I17" s="29" t="n">
        <x:v>0.7727272727272727</x:v>
      </x:c>
      <x:c r="J17" s="29" t="n">
        <x:v>-0.008187543825313798</x:v>
      </x:c>
      <x:c r="K17" s="29" t="n">
        <x:v>0.10909090909090909</x:v>
      </x:c>
      <x:c r="L17" s="29" t="n">
        <x:v>-0.010733377080326716</x:v>
      </x:c>
      <x:c r="M17" s="29" t="n">
        <x:v>0.2</x:v>
      </x:c>
      <x:c r="N17" s="41"/>
      <x:c r="O17" s="29" t="n">
        <x:v>0.15886346772169116</x:v>
      </x:c>
      <x:c r="P17" s="14" t="str">
        <x:v>complete_with_declared_gaps</x:v>
      </x:c>
      <x:c r="Q17" s="26" t="str">
        <x:v>intraday member, time-point, open/close-anchor, or price coverage is incomplete</x:v>
      </x:c>
    </x:row>
    <x:row r="18" ht="28.5" customHeight="1">
      <x:c r="A18" s="17" t="n">
        <x:v>46255</x:v>
      </x:c>
      <x:c r="B18" s="12" t="str">
        <x:v>industry</x:v>
      </x:c>
      <x:c r="C18" s="12" t="str">
        <x:v>801962.SI</x:v>
      </x:c>
      <x:c r="D18" s="12" t="str">
        <x:v>油服工程</x:v>
      </x:c>
      <x:c r="E18" s="12" t="str">
        <x:v>L2</x:v>
      </x:c>
      <x:c r="F18" s="23" t="n">
        <x:v>14</x:v>
      </x:c>
      <x:c r="G18" s="28" t="n">
        <x:v>1</x:v>
      </x:c>
      <x:c r="H18" s="28" t="n">
        <x:v>0.0034863451676056777</x:v>
      </x:c>
      <x:c r="I18" s="28" t="n">
        <x:v>0.7857142857142857</x:v>
      </x:c>
      <x:c r="J18" s="28" t="n">
        <x:v>0.014913620945414945</x:v>
      </x:c>
      <x:c r="K18" s="28" t="n">
        <x:v>0.2857142857142857</x:v>
      </x:c>
      <x:c r="L18" s="28" t="n">
        <x:v>0.040460898863466294</x:v>
      </x:c>
      <x:c r="M18" s="28" t="n">
        <x:v>0.8571428571428571</x:v>
      </x:c>
      <x:c r="N18" s="40" t="n">
        <x:v>0.0010667094035937432</x:v>
      </x:c>
      <x:c r="O18" s="28" t="n">
        <x:v>0.5618748836362747</x:v>
      </x:c>
      <x:c r="P18" s="12" t="str">
        <x:v>complete_with_declared_gaps</x:v>
      </x:c>
      <x:c r="Q18" s="25" t="str">
        <x:v>intraday member, time-point, open/close-anchor, or price coverage is incomplete</x:v>
      </x:c>
    </x:row>
    <x:row r="19" ht="28.5" customHeight="1">
      <x:c r="A19" s="18" t="n">
        <x:v>46258</x:v>
      </x:c>
      <x:c r="B19" s="14" t="str">
        <x:v>industry</x:v>
      </x:c>
      <x:c r="C19" s="14" t="str">
        <x:v>801141.SI</x:v>
      </x:c>
      <x:c r="D19" s="14" t="str">
        <x:v>包装印刷</x:v>
      </x:c>
      <x:c r="E19" s="14" t="str">
        <x:v>L2</x:v>
      </x:c>
      <x:c r="F19" s="24" t="n">
        <x:v>47</x:v>
      </x:c>
      <x:c r="G19" s="29" t="n">
        <x:v>0.9787234042553191</x:v>
      </x:c>
      <x:c r="H19" s="29" t="n">
        <x:v>0.0014169318869813319</x:v>
      </x:c>
      <x:c r="I19" s="29" t="n">
        <x:v>0.2391304347826087</x:v>
      </x:c>
      <x:c r="J19" s="29" t="n">
        <x:v>0.014619301755412572</x:v>
      </x:c>
      <x:c r="K19" s="29" t="n">
        <x:v>0.5652173913043478</x:v>
      </x:c>
      <x:c r="L19" s="29" t="n">
        <x:v>0.0024824566720152985</x:v>
      </x:c>
      <x:c r="M19" s="29" t="n">
        <x:v>0.13043478260869565</x:v>
      </x:c>
      <x:c r="N19" s="41"/>
      <x:c r="O19" s="29" t="n">
        <x:v>0.591139620804999</x:v>
      </x:c>
      <x:c r="P19" s="14" t="str">
        <x:v>complete_with_declared_gaps</x:v>
      </x:c>
      <x:c r="Q19" s="26" t="str">
        <x:v>intraday member, time-point, open/close-anchor, or price coverage is incomplete</x:v>
      </x:c>
    </x:row>
    <x:row r="20" ht="28.5" customHeight="1">
      <x:c r="A20" s="17" t="n">
        <x:v>46258</x:v>
      </x:c>
      <x:c r="B20" s="12" t="str">
        <x:v>industry</x:v>
      </x:c>
      <x:c r="C20" s="12" t="str">
        <x:v>801161.SI</x:v>
      </x:c>
      <x:c r="D20" s="12" t="str">
        <x:v>电力</x:v>
      </x:c>
      <x:c r="E20" s="12" t="str">
        <x:v>L2</x:v>
      </x:c>
      <x:c r="F20" s="23" t="n">
        <x:v>112</x:v>
      </x:c>
      <x:c r="G20" s="28" t="n">
        <x:v>0.9732142857142857</x:v>
      </x:c>
      <x:c r="H20" s="28" t="n">
        <x:v>0.01608665933307007</x:v>
      </x:c>
      <x:c r="I20" s="28" t="n">
        <x:v>0.5412844036697247</x:v>
      </x:c>
      <x:c r="J20" s="28" t="n">
        <x:v>0.009652904363939455</x:v>
      </x:c>
      <x:c r="K20" s="28" t="n">
        <x:v>0.5412844036697247</x:v>
      </x:c>
      <x:c r="L20" s="28" t="n">
        <x:v>0.00633741484186031</x:v>
      </x:c>
      <x:c r="M20" s="28" t="n">
        <x:v>0.1926605504587156</x:v>
      </x:c>
      <x:c r="N20" s="40"/>
      <x:c r="O20" s="28" t="n">
        <x:v>0.3005881513362851</x:v>
      </x:c>
      <x:c r="P20" s="12" t="str">
        <x:v>complete_with_declared_gaps</x:v>
      </x:c>
      <x:c r="Q20" s="25" t="str">
        <x:v>intraday member, time-point, open/close-anchor, or price coverage is incomplete</x:v>
      </x:c>
    </x:row>
    <x:row r="21" ht="28.5" customHeight="1">
      <x:c r="A21" s="18" t="n">
        <x:v>46258</x:v>
      </x:c>
      <x:c r="B21" s="14" t="str">
        <x:v>industry</x:v>
      </x:c>
      <x:c r="C21" s="14" t="str">
        <x:v>801783.SI</x:v>
      </x:c>
      <x:c r="D21" s="14" t="str">
        <x:v>股份制银行Ⅱ</x:v>
      </x:c>
      <x:c r="E21" s="14" t="str">
        <x:v>L2</x:v>
      </x:c>
      <x:c r="F21" s="24" t="n">
        <x:v>9</x:v>
      </x:c>
      <x:c r="G21" s="29" t="n">
        <x:v>1</x:v>
      </x:c>
      <x:c r="H21" s="29" t="n">
        <x:v>0.027500746668521956</x:v>
      </x:c>
      <x:c r="I21" s="29" t="n">
        <x:v>1</x:v>
      </x:c>
      <x:c r="J21" s="29" t="n">
        <x:v>0.028150249230632918</x:v>
      </x:c>
      <x:c r="K21" s="29" t="n">
        <x:v>1</x:v>
      </x:c>
      <x:c r="L21" s="29" t="n">
        <x:v>0.07588599932112972</x:v>
      </x:c>
      <x:c r="M21" s="29" t="n">
        <x:v>1</x:v>
      </x:c>
      <x:c r="N21" s="41" t="n">
        <x:v>0.0025609209488055224</x:v>
      </x:c>
      <x:c r="O21" s="29" t="n">
        <x:v>0.43151014148247513</x:v>
      </x:c>
      <x:c r="P21" s="14" t="str">
        <x:v>complete_with_declared_gaps</x:v>
      </x:c>
      <x:c r="Q21" s="26" t="str">
        <x:v>intraday member, time-point, open/close-anchor, or price coverage is incomplete</x:v>
      </x:c>
    </x:row>
    <x:row r="22" ht="28.5" customHeight="1">
      <x:c r="A22" s="17" t="n">
        <x:v>46258</x:v>
      </x:c>
      <x:c r="B22" s="12" t="str">
        <x:v>industry</x:v>
      </x:c>
      <x:c r="C22" s="12" t="str">
        <x:v>801785.SI</x:v>
      </x:c>
      <x:c r="D22" s="12" t="str">
        <x:v>农商行Ⅱ</x:v>
      </x:c>
      <x:c r="E22" s="12" t="str">
        <x:v>L2</x:v>
      </x:c>
      <x:c r="F22" s="23" t="n">
        <x:v>10</x:v>
      </x:c>
      <x:c r="G22" s="28" t="n">
        <x:v>1</x:v>
      </x:c>
      <x:c r="H22" s="28" t="n">
        <x:v>0.030135002216666828</x:v>
      </x:c>
      <x:c r="I22" s="28" t="n">
        <x:v>1</x:v>
      </x:c>
      <x:c r="J22" s="28" t="n">
        <x:v>0.02715581593139129</x:v>
      </x:c>
      <x:c r="K22" s="28" t="n">
        <x:v>0.9</x:v>
      </x:c>
      <x:c r="L22" s="28" t="n">
        <x:v>0.06948670145648576</x:v>
      </x:c>
      <x:c r="M22" s="28" t="n">
        <x:v>1</x:v>
      </x:c>
      <x:c r="N22" s="40" t="n">
        <x:v>0.0005225532397197123</x:v>
      </x:c>
      <x:c r="O22" s="28" t="n">
        <x:v>0.4550624669400844</x:v>
      </x:c>
      <x:c r="P22" s="12" t="str">
        <x:v>complete_with_declared_gaps</x:v>
      </x:c>
      <x:c r="Q22" s="25" t="str">
        <x:v>intraday member, time-point, open/close-anchor, or price coverage is incomplete</x:v>
      </x:c>
    </x:row>
    <x:row r="23" ht="28.5" customHeight="1">
      <x:c r="A23" s="18" t="n">
        <x:v>46258</x:v>
      </x:c>
      <x:c r="B23" s="14" t="str">
        <x:v>industry</x:v>
      </x:c>
      <x:c r="C23" s="14" t="str">
        <x:v>801971.SI</x:v>
      </x:c>
      <x:c r="D23" s="14" t="str">
        <x:v>环境治理</x:v>
      </x:c>
      <x:c r="E23" s="14" t="str">
        <x:v>L2</x:v>
      </x:c>
      <x:c r="F23" s="24" t="n">
        <x:v>113</x:v>
      </x:c>
      <x:c r="G23" s="29" t="n">
        <x:v>0.9469026548672567</x:v>
      </x:c>
      <x:c r="H23" s="29" t="n">
        <x:v>0.008660037147511585</x:v>
      </x:c>
      <x:c r="I23" s="29" t="n">
        <x:v>0.308411214953271</x:v>
      </x:c>
      <x:c r="J23" s="29" t="n">
        <x:v>0.019491169269609122</x:v>
      </x:c>
      <x:c r="K23" s="29" t="n">
        <x:v>0.7009345794392523</x:v>
      </x:c>
      <x:c r="L23" s="29" t="n">
        <x:v>0.01775661804950585</x:v>
      </x:c>
      <x:c r="M23" s="29" t="n">
        <x:v>0.19626168224299065</x:v>
      </x:c>
      <x:c r="N23" s="41"/>
      <x:c r="O23" s="29" t="n">
        <x:v>0.4027473978203908</x:v>
      </x:c>
      <x:c r="P23" s="14" t="str">
        <x:v>complete_with_declared_gaps</x:v>
      </x:c>
      <x:c r="Q23" s="26" t="str">
        <x:v>intraday member, time-point, open/close-anchor, or price coverage is incomplete</x:v>
      </x:c>
    </x:row>
    <x:row r="24" ht="28.5" customHeight="1">
      <x:c r="A24" s="17" t="n">
        <x:v>46259</x:v>
      </x:c>
      <x:c r="B24" s="12" t="str">
        <x:v>industry</x:v>
      </x:c>
      <x:c r="C24" s="12" t="str">
        <x:v>801033.SI</x:v>
      </x:c>
      <x:c r="D24" s="12" t="str">
        <x:v>化学原料</x:v>
      </x:c>
      <x:c r="E24" s="12" t="str">
        <x:v>L2</x:v>
      </x:c>
      <x:c r="F24" s="23" t="n">
        <x:v>63</x:v>
      </x:c>
      <x:c r="G24" s="28" t="n">
        <x:v>0.9365079365079365</x:v>
      </x:c>
      <x:c r="H24" s="28" t="n">
        <x:v>0.0167168064108915</x:v>
      </x:c>
      <x:c r="I24" s="28" t="n">
        <x:v>0.8305084745762712</x:v>
      </x:c>
      <x:c r="J24" s="28" t="n">
        <x:v>0.027831205418838136</x:v>
      </x:c>
      <x:c r="K24" s="28" t="n">
        <x:v>0.7457627118644068</x:v>
      </x:c>
      <x:c r="L24" s="28" t="n">
        <x:v>0.04655875135464985</x:v>
      </x:c>
      <x:c r="M24" s="28" t="n">
        <x:v>0.559322033898305</x:v>
      </x:c>
      <x:c r="N24" s="40"/>
      <x:c r="O24" s="28" t="n">
        <x:v>0.26516702016001215</x:v>
      </x:c>
      <x:c r="P24" s="12" t="str">
        <x:v>complete_with_declared_gaps</x:v>
      </x:c>
      <x:c r="Q24" s="25" t="str">
        <x:v>intraday member, time-point, open/close-anchor, or price coverage is incomplete</x:v>
      </x:c>
    </x:row>
    <x:row r="25" ht="28.5" customHeight="1">
      <x:c r="A25" s="18" t="n">
        <x:v>46259</x:v>
      </x:c>
      <x:c r="B25" s="14" t="str">
        <x:v>industry</x:v>
      </x:c>
      <x:c r="C25" s="14" t="str">
        <x:v>801053.SI</x:v>
      </x:c>
      <x:c r="D25" s="14" t="str">
        <x:v>贵金属</x:v>
      </x:c>
      <x:c r="E25" s="14" t="str">
        <x:v>L2</x:v>
      </x:c>
      <x:c r="F25" s="24" t="n">
        <x:v>14</x:v>
      </x:c>
      <x:c r="G25" s="29" t="n">
        <x:v>0.7142857142857143</x:v>
      </x:c>
      <x:c r="H25" s="29"/>
      <x:c r="I25" s="29"/>
      <x:c r="J25" s="29"/>
      <x:c r="K25" s="29"/>
      <x:c r="L25" s="29"/>
      <x:c r="M25" s="29"/>
      <x:c r="N25" s="41"/>
      <x:c r="O25" s="29"/>
      <x:c r="P25" s="14" t="str">
        <x:v>limited</x:v>
      </x:c>
      <x:c r="Q25" s="26" t="str">
        <x:v>current member coverage 71.43% is below required 80%; current stock-limit coverage is below required 80%; intraday member, time-point, open/close-anchor, or price coverage is incomplete; one or more 1/3/5/20-session sector windows are incomplete; 20/60-session new-high member coverage is incomplete</x:v>
      </x:c>
    </x:row>
    <x:row r="26" ht="28.5" customHeight="1">
      <x:c r="A26" s="17" t="n">
        <x:v>46259</x:v>
      </x:c>
      <x:c r="B26" s="12" t="str">
        <x:v>industry</x:v>
      </x:c>
      <x:c r="C26" s="12" t="str">
        <x:v>801072.SI</x:v>
      </x:c>
      <x:c r="D26" s="12" t="str">
        <x:v>通用设备</x:v>
      </x:c>
      <x:c r="E26" s="12" t="str">
        <x:v>L2</x:v>
      </x:c>
      <x:c r="F26" s="23" t="n">
        <x:v>253</x:v>
      </x:c>
      <x:c r="G26" s="28" t="n">
        <x:v>0.9723320158102767</x:v>
      </x:c>
      <x:c r="H26" s="28" t="n">
        <x:v>0.023287046577660512</x:v>
      </x:c>
      <x:c r="I26" s="28" t="n">
        <x:v>0.7967479674796748</x:v>
      </x:c>
      <x:c r="J26" s="28" t="n">
        <x:v>0.019709836795758273</x:v>
      </x:c>
      <x:c r="K26" s="28" t="n">
        <x:v>0.6065573770491803</x:v>
      </x:c>
      <x:c r="L26" s="28" t="n">
        <x:v>-0.004661056499112942</x:v>
      </x:c>
      <x:c r="M26" s="28" t="n">
        <x:v>0.23770491803278687</x:v>
      </x:c>
      <x:c r="N26" s="40"/>
      <x:c r="O26" s="28" t="n">
        <x:v>0.07368044640654206</x:v>
      </x:c>
      <x:c r="P26" s="12" t="str">
        <x:v>complete_with_declared_gaps</x:v>
      </x:c>
      <x:c r="Q26" s="25" t="str">
        <x:v>intraday member, time-point, open/close-anchor, or price coverage is incomplete</x:v>
      </x:c>
    </x:row>
    <x:row r="27" ht="28.5" customHeight="1">
      <x:c r="A27" s="18" t="n">
        <x:v>46259</x:v>
      </x:c>
      <x:c r="B27" s="14" t="str">
        <x:v>industry</x:v>
      </x:c>
      <x:c r="C27" s="14" t="str">
        <x:v>801093.SI</x:v>
      </x:c>
      <x:c r="D27" s="14" t="str">
        <x:v>汽车零部件</x:v>
      </x:c>
      <x:c r="E27" s="14" t="str">
        <x:v>L2</x:v>
      </x:c>
      <x:c r="F27" s="24" t="n">
        <x:v>275</x:v>
      </x:c>
      <x:c r="G27" s="29" t="n">
        <x:v>0.9890909090909091</x:v>
      </x:c>
      <x:c r="H27" s="29" t="n">
        <x:v>0.022376283793813654</x:v>
      </x:c>
      <x:c r="I27" s="29" t="n">
        <x:v>0.8455882352941176</x:v>
      </x:c>
      <x:c r="J27" s="29" t="n">
        <x:v>0.02513027373150669</x:v>
      </x:c>
      <x:c r="K27" s="29" t="n">
        <x:v>0.7111111111111111</x:v>
      </x:c>
      <x:c r="L27" s="29" t="n">
        <x:v>0.005386934937107672</x:v>
      </x:c>
      <x:c r="M27" s="29" t="n">
        <x:v>0.2518518518518518</x:v>
      </x:c>
      <x:c r="N27" s="41"/>
      <x:c r="O27" s="29" t="n">
        <x:v>0.0517063773026317</x:v>
      </x:c>
      <x:c r="P27" s="14" t="str">
        <x:v>complete_with_declared_gaps</x:v>
      </x:c>
      <x:c r="Q27" s="26" t="str">
        <x:v>intraday member, time-point, open/close-anchor, or price coverage is incomplete</x:v>
      </x:c>
    </x:row>
    <x:row r="28" ht="28.5" customHeight="1">
      <x:c r="A28" s="17" t="n">
        <x:v>46259</x:v>
      </x:c>
      <x:c r="B28" s="12" t="str">
        <x:v>industry</x:v>
      </x:c>
      <x:c r="C28" s="12" t="str">
        <x:v>801115.SI</x:v>
      </x:c>
      <x:c r="D28" s="12" t="str">
        <x:v>照明设备Ⅱ</x:v>
      </x:c>
      <x:c r="E28" s="12" t="str">
        <x:v>L2</x:v>
      </x:c>
      <x:c r="F28" s="23" t="n">
        <x:v>14</x:v>
      </x:c>
      <x:c r="G28" s="28" t="n">
        <x:v>1</x:v>
      </x:c>
      <x:c r="H28" s="28" t="n">
        <x:v>0.015744172666454455</x:v>
      </x:c>
      <x:c r="I28" s="28" t="n">
        <x:v>0.6428571428571429</x:v>
      </x:c>
      <x:c r="J28" s="28" t="n">
        <x:v>0.03633701521931479</x:v>
      </x:c>
      <x:c r="K28" s="28" t="n">
        <x:v>0.6428571428571429</x:v>
      </x:c>
      <x:c r="L28" s="28" t="n">
        <x:v>0.03360144778449037</x:v>
      </x:c>
      <x:c r="M28" s="28" t="n">
        <x:v>0.6428571428571429</x:v>
      </x:c>
      <x:c r="N28" s="40" t="n">
        <x:v>0.00024538012401774064</x:v>
      </x:c>
      <x:c r="O28" s="28" t="n">
        <x:v>0.499482152141875</x:v>
      </x:c>
      <x:c r="P28" s="12" t="str">
        <x:v>complete_with_declared_gaps</x:v>
      </x:c>
      <x:c r="Q28" s="25" t="str">
        <x:v>intraday member, time-point, open/close-anchor, or price coverage is incomplete</x:v>
      </x:c>
    </x:row>
    <x:row r="29" ht="28.5" customHeight="1">
      <x:c r="A29" s="18" t="n">
        <x:v>46259</x:v>
      </x:c>
      <x:c r="B29" s="14" t="str">
        <x:v>industry</x:v>
      </x:c>
      <x:c r="C29" s="14" t="str">
        <x:v>801142.SI</x:v>
      </x:c>
      <x:c r="D29" s="14" t="str">
        <x:v>家居用品</x:v>
      </x:c>
      <x:c r="E29" s="14" t="str">
        <x:v>L2</x:v>
      </x:c>
      <x:c r="F29" s="24" t="n">
        <x:v>78</x:v>
      </x:c>
      <x:c r="G29" s="29" t="n">
        <x:v>0.9871794871794872</x:v>
      </x:c>
      <x:c r="H29" s="29" t="n">
        <x:v>0.02258582485250402</x:v>
      </x:c>
      <x:c r="I29" s="29" t="n">
        <x:v>0.8571428571428571</x:v>
      </x:c>
      <x:c r="J29" s="29" t="n">
        <x:v>0.016438665000857815</x:v>
      </x:c>
      <x:c r="K29" s="29" t="n">
        <x:v>0.631578947368421</x:v>
      </x:c>
      <x:c r="L29" s="29" t="n">
        <x:v>0.03359661979827185</x:v>
      </x:c>
      <x:c r="M29" s="29" t="n">
        <x:v>0.4868421052631579</x:v>
      </x:c>
      <x:c r="N29" s="41"/>
      <x:c r="O29" s="29" t="n">
        <x:v>0.15051620396877294</x:v>
      </x:c>
      <x:c r="P29" s="14" t="str">
        <x:v>complete_with_declared_gaps</x:v>
      </x:c>
      <x:c r="Q29" s="26" t="str">
        <x:v>intraday member, time-point, open/close-anchor, or price coverage is incomplete</x:v>
      </x:c>
    </x:row>
    <x:row r="30" ht="28.5" customHeight="1">
      <x:c r="A30" s="17" t="n">
        <x:v>46259</x:v>
      </x:c>
      <x:c r="B30" s="12" t="str">
        <x:v>industry</x:v>
      </x:c>
      <x:c r="C30" s="12" t="str">
        <x:v>801721.SI</x:v>
      </x:c>
      <x:c r="D30" s="12" t="str">
        <x:v>房屋建设Ⅱ</x:v>
      </x:c>
      <x:c r="E30" s="12" t="str">
        <x:v>L2</x:v>
      </x:c>
      <x:c r="F30" s="23" t="n">
        <x:v>8</x:v>
      </x:c>
      <x:c r="G30" s="28" t="n">
        <x:v>1</x:v>
      </x:c>
      <x:c r="H30" s="28" t="n">
        <x:v>0.017378199678696415</x:v>
      </x:c>
      <x:c r="I30" s="28" t="n">
        <x:v>1</x:v>
      </x:c>
      <x:c r="J30" s="28" t="n">
        <x:v>0.039655935920732674</x:v>
      </x:c>
      <x:c r="K30" s="28" t="n">
        <x:v>0.75</x:v>
      </x:c>
      <x:c r="L30" s="28" t="n">
        <x:v>0.07786275389187187</x:v>
      </x:c>
      <x:c r="M30" s="28" t="n">
        <x:v>0.75</x:v>
      </x:c>
      <x:c r="N30" s="40" t="n">
        <x:v>0.00038314733643721134</x:v>
      </x:c>
      <x:c r="O30" s="28" t="n">
        <x:v>0.5626612765194727</x:v>
      </x:c>
      <x:c r="P30" s="12" t="str">
        <x:v>complete_with_declared_gaps</x:v>
      </x:c>
      <x:c r="Q30" s="25" t="str">
        <x:v>intraday member, time-point, open/close-anchor, or price coverage is incomplete</x:v>
      </x:c>
    </x:row>
    <x:row r="31" ht="28.5" customHeight="1">
      <x:c r="A31" s="18" t="n">
        <x:v>46259</x:v>
      </x:c>
      <x:c r="B31" s="14" t="str">
        <x:v>industry</x:v>
      </x:c>
      <x:c r="C31" s="14" t="str">
        <x:v>801733.SI</x:v>
      </x:c>
      <x:c r="D31" s="14" t="str">
        <x:v>其他电源设备Ⅱ</x:v>
      </x:c>
      <x:c r="E31" s="14" t="str">
        <x:v>L2</x:v>
      </x:c>
      <x:c r="F31" s="24" t="n">
        <x:v>36</x:v>
      </x:c>
      <x:c r="G31" s="29" t="n">
        <x:v>0.9166666666666666</x:v>
      </x:c>
      <x:c r="H31" s="29" t="n">
        <x:v>0.012273351078517913</x:v>
      </x:c>
      <x:c r="I31" s="29" t="n">
        <x:v>0.7878787878787878</x:v>
      </x:c>
      <x:c r="J31" s="29" t="n">
        <x:v>0.015267384399023374</x:v>
      </x:c>
      <x:c r="K31" s="29" t="n">
        <x:v>0.5151515151515151</x:v>
      </x:c>
      <x:c r="L31" s="29" t="n">
        <x:v>-0.00974170403497119</x:v>
      </x:c>
      <x:c r="M31" s="29" t="n">
        <x:v>0.12121212121212122</x:v>
      </x:c>
      <x:c r="N31" s="41"/>
      <x:c r="O31" s="29" t="n">
        <x:v>0.23018898436114058</x:v>
      </x:c>
      <x:c r="P31" s="14" t="str">
        <x:v>complete_with_declared_gaps</x:v>
      </x:c>
      <x:c r="Q31" s="26" t="str">
        <x:v>intraday member, time-point, open/close-anchor, or price coverage is incomplete</x:v>
      </x:c>
    </x:row>
    <x:row r="32" ht="28.5" customHeight="1">
      <x:c r="A32" s="17" t="n">
        <x:v>46259</x:v>
      </x:c>
      <x:c r="B32" s="12" t="str">
        <x:v>industry</x:v>
      </x:c>
      <x:c r="C32" s="12" t="str">
        <x:v>801738.SI</x:v>
      </x:c>
      <x:c r="D32" s="12" t="str">
        <x:v>电网设备</x:v>
      </x:c>
      <x:c r="E32" s="12" t="str">
        <x:v>L2</x:v>
      </x:c>
      <x:c r="F32" s="23" t="n">
        <x:v>149</x:v>
      </x:c>
      <x:c r="G32" s="28" t="n">
        <x:v>0.9395973154362416</x:v>
      </x:c>
      <x:c r="H32" s="28" t="n">
        <x:v>0.013541562393823895</x:v>
      </x:c>
      <x:c r="I32" s="28" t="n">
        <x:v>0.7857142857142857</x:v>
      </x:c>
      <x:c r="J32" s="28" t="n">
        <x:v>0.012465710231634302</x:v>
      </x:c>
      <x:c r="K32" s="28" t="n">
        <x:v>0.5571428571428572</x:v>
      </x:c>
      <x:c r="L32" s="28" t="n">
        <x:v>-0.00005383021405453575</x:v>
      </x:c>
      <x:c r="M32" s="28" t="n">
        <x:v>0.20714285714285716</x:v>
      </x:c>
      <x:c r="N32" s="40"/>
      <x:c r="O32" s="28" t="n">
        <x:v>0.1000191154263063</x:v>
      </x:c>
      <x:c r="P32" s="12" t="str">
        <x:v>complete_with_declared_gaps</x:v>
      </x:c>
      <x:c r="Q32" s="25" t="str">
        <x:v>intraday member, time-point, open/close-anchor, or price coverage is incomplete</x:v>
      </x:c>
    </x:row>
    <x:row r="33" ht="28.5" customHeight="1">
      <x:c r="A33" s="18" t="n">
        <x:v>46259</x:v>
      </x:c>
      <x:c r="B33" s="14" t="str">
        <x:v>industry</x:v>
      </x:c>
      <x:c r="C33" s="14" t="str">
        <x:v>801972.SI</x:v>
      </x:c>
      <x:c r="D33" s="14" t="str">
        <x:v>环保设备Ⅱ</x:v>
      </x:c>
      <x:c r="E33" s="14" t="str">
        <x:v>L2</x:v>
      </x:c>
      <x:c r="F33" s="24" t="n">
        <x:v>28</x:v>
      </x:c>
      <x:c r="G33" s="29" t="n">
        <x:v>0.9642857142857143</x:v>
      </x:c>
      <x:c r="H33" s="29" t="n">
        <x:v>0.014154398218795668</x:v>
      </x:c>
      <x:c r="I33" s="29" t="n">
        <x:v>0.6666666666666666</x:v>
      </x:c>
      <x:c r="J33" s="29" t="n">
        <x:v>0.01227799671459837</x:v>
      </x:c>
      <x:c r="K33" s="29" t="n">
        <x:v>0.5925925925925926</x:v>
      </x:c>
      <x:c r="L33" s="29" t="n">
        <x:v>0.012696574077701812</x:v>
      </x:c>
      <x:c r="M33" s="29" t="n">
        <x:v>0.37037037037037035</x:v>
      </x:c>
      <x:c r="N33" s="41"/>
      <x:c r="O33" s="29" t="n">
        <x:v>0.29676644053560686</x:v>
      </x:c>
      <x:c r="P33" s="14" t="str">
        <x:v>complete_with_declared_gaps</x:v>
      </x:c>
      <x:c r="Q33" s="26" t="str">
        <x:v>intraday member, time-point, open/close-anchor, or price coverage is incomplete</x:v>
      </x:c>
    </x:row>
    <x:row r="34" ht="28.5" customHeight="1">
      <x:c r="A34" s="17" t="n">
        <x:v>46260</x:v>
      </x:c>
      <x:c r="B34" s="12" t="str">
        <x:v>industry</x:v>
      </x:c>
      <x:c r="C34" s="12" t="str">
        <x:v>801033.SI</x:v>
      </x:c>
      <x:c r="D34" s="12" t="str">
        <x:v>化学原料</x:v>
      </x:c>
      <x:c r="E34" s="12" t="str">
        <x:v>L2</x:v>
      </x:c>
      <x:c r="F34" s="23" t="n">
        <x:v>63</x:v>
      </x:c>
      <x:c r="G34" s="28" t="n">
        <x:v>0.9206349206349206</x:v>
      </x:c>
      <x:c r="H34" s="28" t="n">
        <x:v>0.0007811401797880192</x:v>
      </x:c>
      <x:c r="I34" s="28" t="n">
        <x:v>0.7068965517241379</x:v>
      </x:c>
      <x:c r="J34" s="28" t="n">
        <x:v>0.029243391108315062</x:v>
      </x:c>
      <x:c r="K34" s="28" t="n">
        <x:v>0.8103448275862069</x:v>
      </x:c>
      <x:c r="L34" s="28" t="n">
        <x:v>0.03719982892979556</x:v>
      </x:c>
      <x:c r="M34" s="28" t="n">
        <x:v>0.8275862068965517</x:v>
      </x:c>
      <x:c r="N34" s="40"/>
      <x:c r="O34" s="28" t="n">
        <x:v>0.28865624666575823</x:v>
      </x:c>
      <x:c r="P34" s="12" t="str">
        <x:v>complete_with_declared_gaps</x:v>
      </x:c>
      <x:c r="Q34" s="25" t="str">
        <x:v>intraday member, time-point, open/close-anchor, or price coverage is incomplete</x:v>
      </x:c>
    </x:row>
    <x:row r="35" ht="28.5" customHeight="1">
      <x:c r="A35" s="18" t="n">
        <x:v>46260</x:v>
      </x:c>
      <x:c r="B35" s="14" t="str">
        <x:v>industry</x:v>
      </x:c>
      <x:c r="C35" s="14" t="str">
        <x:v>801034.SI</x:v>
      </x:c>
      <x:c r="D35" s="14" t="str">
        <x:v>化学制品</x:v>
      </x:c>
      <x:c r="E35" s="14" t="str">
        <x:v>L2</x:v>
      </x:c>
      <x:c r="F35" s="24" t="n">
        <x:v>184</x:v>
      </x:c>
      <x:c r="G35" s="29" t="n">
        <x:v>1</x:v>
      </x:c>
      <x:c r="H35" s="29" t="n">
        <x:v>-0.008862349206005217</x:v>
      </x:c>
      <x:c r="I35" s="29" t="n">
        <x:v>0.47540983606557374</x:v>
      </x:c>
      <x:c r="J35" s="29" t="n">
        <x:v>-0.0002342515505418842</x:v>
      </x:c>
      <x:c r="K35" s="29" t="n">
        <x:v>0.43169398907103823</x:v>
      </x:c>
      <x:c r="L35" s="29" t="n">
        <x:v>0.003587436957289707</x:v>
      </x:c>
      <x:c r="M35" s="29" t="n">
        <x:v>0.5792349726775956</x:v>
      </x:c>
      <x:c r="N35" s="41" t="n">
        <x:v>-0.0008277038892491144</x:v>
      </x:c>
      <x:c r="O35" s="29" t="n">
        <x:v>0.14690568898622086</x:v>
      </x:c>
      <x:c r="P35" s="14" t="str">
        <x:v>complete_with_declared_gaps</x:v>
      </x:c>
      <x:c r="Q35" s="26" t="str">
        <x:v>intraday member, time-point, open/close-anchor, or price coverage is incomplete</x:v>
      </x:c>
    </x:row>
    <x:row r="36" ht="28.5" customHeight="1">
      <x:c r="A36" s="17" t="n">
        <x:v>46260</x:v>
      </x:c>
      <x:c r="B36" s="12" t="str">
        <x:v>industry</x:v>
      </x:c>
      <x:c r="C36" s="12" t="str">
        <x:v>801055.SI</x:v>
      </x:c>
      <x:c r="D36" s="12" t="str">
        <x:v>工业金属</x:v>
      </x:c>
      <x:c r="E36" s="12" t="str">
        <x:v>L2</x:v>
      </x:c>
      <x:c r="F36" s="23" t="n">
        <x:v>65</x:v>
      </x:c>
      <x:c r="G36" s="28" t="n">
        <x:v>0.9230769230769231</x:v>
      </x:c>
      <x:c r="H36" s="28" t="n">
        <x:v>0.020407100180430605</x:v>
      </x:c>
      <x:c r="I36" s="28" t="n">
        <x:v>0.9166666666666666</x:v>
      </x:c>
      <x:c r="J36" s="28" t="n">
        <x:v>0.03130490176627781</x:v>
      </x:c>
      <x:c r="K36" s="28" t="n">
        <x:v>0.8333333333333334</x:v>
      </x:c>
      <x:c r="L36" s="28" t="n">
        <x:v>0.059494706411147714</x:v>
      </x:c>
      <x:c r="M36" s="28" t="n">
        <x:v>0.9</x:v>
      </x:c>
      <x:c r="N36" s="40"/>
      <x:c r="O36" s="28" t="n">
        <x:v>0.16636540654772805</x:v>
      </x:c>
      <x:c r="P36" s="12" t="str">
        <x:v>complete_with_declared_gaps</x:v>
      </x:c>
      <x:c r="Q36" s="25" t="str">
        <x:v>intraday member, time-point, open/close-anchor, or price coverage is incomplete</x:v>
      </x:c>
    </x:row>
    <x:row r="37" ht="28.5" customHeight="1">
      <x:c r="A37" s="18" t="n">
        <x:v>46260</x:v>
      </x:c>
      <x:c r="B37" s="14" t="str">
        <x:v>industry</x:v>
      </x:c>
      <x:c r="C37" s="14" t="str">
        <x:v>801103.SI</x:v>
      </x:c>
      <x:c r="D37" s="14" t="str">
        <x:v>IT服务Ⅱ</x:v>
      </x:c>
      <x:c r="E37" s="14" t="str">
        <x:v>L2</x:v>
      </x:c>
      <x:c r="F37" s="24" t="n">
        <x:v>145</x:v>
      </x:c>
      <x:c r="G37" s="29" t="n">
        <x:v>0.9241379310344827</x:v>
      </x:c>
      <x:c r="H37" s="29" t="n">
        <x:v>-0.009603441245750162</x:v>
      </x:c>
      <x:c r="I37" s="29" t="n">
        <x:v>0.44776119402985076</x:v>
      </x:c>
      <x:c r="J37" s="29" t="n">
        <x:v>0.002809377505599585</x:v>
      </x:c>
      <x:c r="K37" s="29" t="n">
        <x:v>0.5298507462686567</x:v>
      </x:c>
      <x:c r="L37" s="29" t="n">
        <x:v>0.0021001547643745354</x:v>
      </x:c>
      <x:c r="M37" s="29" t="n">
        <x:v>0.5373134328358209</x:v>
      </x:c>
      <x:c r="N37" s="41"/>
      <x:c r="O37" s="29" t="n">
        <x:v>0.3241228760903555</x:v>
      </x:c>
      <x:c r="P37" s="14" t="str">
        <x:v>complete_with_declared_gaps</x:v>
      </x:c>
      <x:c r="Q37" s="26" t="str">
        <x:v>intraday member, time-point, open/close-anchor, or price coverage is incomplete</x:v>
      </x:c>
    </x:row>
    <x:row r="38" ht="28.5" customHeight="1">
      <x:c r="A38" s="17" t="n">
        <x:v>46260</x:v>
      </x:c>
      <x:c r="B38" s="12" t="str">
        <x:v>industry</x:v>
      </x:c>
      <x:c r="C38" s="12" t="str">
        <x:v>801218.SI</x:v>
      </x:c>
      <x:c r="D38" s="12" t="str">
        <x:v>专业服务</x:v>
      </x:c>
      <x:c r="E38" s="12" t="str">
        <x:v>L2</x:v>
      </x:c>
      <x:c r="F38" s="23" t="n">
        <x:v>34</x:v>
      </x:c>
      <x:c r="G38" s="28" t="n">
        <x:v>0.9705882352941176</x:v>
      </x:c>
      <x:c r="H38" s="28" t="n">
        <x:v>-0.008233417006235295</x:v>
      </x:c>
      <x:c r="I38" s="28" t="n">
        <x:v>0.5151515151515151</x:v>
      </x:c>
      <x:c r="J38" s="28" t="n">
        <x:v>0.011199495287473674</x:v>
      </x:c>
      <x:c r="K38" s="28" t="n">
        <x:v>0.5454545454545454</x:v>
      </x:c>
      <x:c r="L38" s="28" t="n">
        <x:v>0.008525883441190426</x:v>
      </x:c>
      <x:c r="M38" s="28" t="n">
        <x:v>0.6060606060606061</x:v>
      </x:c>
      <x:c r="N38" s="40"/>
      <x:c r="O38" s="28" t="n">
        <x:v>0.5727804270286556</x:v>
      </x:c>
      <x:c r="P38" s="12" t="str">
        <x:v>complete_with_declared_gaps</x:v>
      </x:c>
      <x:c r="Q38" s="25" t="str">
        <x:v>intraday member, time-point, open/close-anchor, or price coverage is incomplete</x:v>
      </x:c>
    </x:row>
    <x:row r="39" ht="28.5" customHeight="1">
      <x:c r="A39" s="18" t="n">
        <x:v>46260</x:v>
      </x:c>
      <x:c r="B39" s="14" t="str">
        <x:v>industry</x:v>
      </x:c>
      <x:c r="C39" s="14" t="str">
        <x:v>801736.SI</x:v>
      </x:c>
      <x:c r="D39" s="14" t="str">
        <x:v>风电设备</x:v>
      </x:c>
      <x:c r="E39" s="14" t="str">
        <x:v>L2</x:v>
      </x:c>
      <x:c r="F39" s="24" t="n">
        <x:v>32</x:v>
      </x:c>
      <x:c r="G39" s="29" t="n">
        <x:v>0.96875</x:v>
      </x:c>
      <x:c r="H39" s="29" t="n">
        <x:v>-0.004593748440462882</x:v>
      </x:c>
      <x:c r="I39" s="29" t="n">
        <x:v>0.6451612903225806</x:v>
      </x:c>
      <x:c r="J39" s="29" t="n">
        <x:v>-0.0008676607683821905</x:v>
      </x:c>
      <x:c r="K39" s="29" t="n">
        <x:v>0.41935483870967744</x:v>
      </x:c>
      <x:c r="L39" s="29" t="n">
        <x:v>-0.012289127080802993</x:v>
      </x:c>
      <x:c r="M39" s="29" t="n">
        <x:v>0.5161290322580645</x:v>
      </x:c>
      <x:c r="N39" s="41"/>
      <x:c r="O39" s="29" t="n">
        <x:v>0.31162888137948386</x:v>
      </x:c>
      <x:c r="P39" s="14" t="str">
        <x:v>complete_with_declared_gaps</x:v>
      </x:c>
      <x:c r="Q39" s="26" t="str">
        <x:v>intraday member, time-point, open/close-anchor, or price coverage is incomplete</x:v>
      </x:c>
    </x:row>
    <x:row r="40" ht="28.5" customHeight="1">
      <x:c r="A40" s="17" t="n">
        <x:v>46260</x:v>
      </x:c>
      <x:c r="B40" s="12" t="str">
        <x:v>industry</x:v>
      </x:c>
      <x:c r="C40" s="12" t="str">
        <x:v>801971.SI</x:v>
      </x:c>
      <x:c r="D40" s="12" t="str">
        <x:v>环境治理</x:v>
      </x:c>
      <x:c r="E40" s="12" t="str">
        <x:v>L2</x:v>
      </x:c>
      <x:c r="F40" s="23" t="n">
        <x:v>113</x:v>
      </x:c>
      <x:c r="G40" s="28" t="n">
        <x:v>0.9469026548672567</x:v>
      </x:c>
      <x:c r="H40" s="28" t="n">
        <x:v>-0.0016449360147877696</x:v>
      </x:c>
      <x:c r="I40" s="28" t="n">
        <x:v>0.6822429906542056</x:v>
      </x:c>
      <x:c r="J40" s="28" t="n">
        <x:v>0.02303278346994846</x:v>
      </x:c>
      <x:c r="K40" s="28" t="n">
        <x:v>0.7009345794392523</x:v>
      </x:c>
      <x:c r="L40" s="28" t="n">
        <x:v>0.03411828004616186</x:v>
      </x:c>
      <x:c r="M40" s="28" t="n">
        <x:v>0.822429906542056</x:v>
      </x:c>
      <x:c r="N40" s="40"/>
      <x:c r="O40" s="28" t="n">
        <x:v>0.19258354532776187</x:v>
      </x:c>
      <x:c r="P40" s="12" t="str">
        <x:v>complete_with_declared_gaps</x:v>
      </x:c>
      <x:c r="Q40" s="25" t="str">
        <x:v>intraday member, time-point, open/close-anchor, or price coverage is incomplete</x:v>
      </x:c>
    </x:row>
    <x:row r="41" ht="28.5" customHeight="1">
      <x:c r="A41" s="18" t="n">
        <x:v>46261</x:v>
      </x:c>
      <x:c r="B41" s="14" t="str">
        <x:v>industry</x:v>
      </x:c>
      <x:c r="C41" s="14" t="str">
        <x:v>801043.SI</x:v>
      </x:c>
      <x:c r="D41" s="14" t="str">
        <x:v>冶钢原料</x:v>
      </x:c>
      <x:c r="E41" s="14" t="str">
        <x:v>L2</x:v>
      </x:c>
      <x:c r="F41" s="24" t="n">
        <x:v>9</x:v>
      </x:c>
      <x:c r="G41" s="29" t="n">
        <x:v>1</x:v>
      </x:c>
      <x:c r="H41" s="29" t="n">
        <x:v>-0.009175280281524208</x:v>
      </x:c>
      <x:c r="I41" s="29" t="n">
        <x:v>0.5555555555555556</x:v>
      </x:c>
      <x:c r="J41" s="29" t="n">
        <x:v>0.0033647462926025273</x:v>
      </x:c>
      <x:c r="K41" s="29" t="n">
        <x:v>0.6666666666666666</x:v>
      </x:c>
      <x:c r="L41" s="29" t="n">
        <x:v>0.02812592749055333</x:v>
      </x:c>
      <x:c r="M41" s="29" t="n">
        <x:v>1</x:v>
      </x:c>
      <x:c r="N41" s="41" t="n">
        <x:v>0.000041657452610797756</x:v>
      </x:c>
      <x:c r="O41" s="29" t="n">
        <x:v>0.8570872980212229</x:v>
      </x:c>
      <x:c r="P41" s="14" t="str">
        <x:v>complete_with_declared_gaps</x:v>
      </x:c>
      <x:c r="Q41" s="26" t="str">
        <x:v>intraday member, time-point, open/close-anchor, or price coverage is incomplete</x:v>
      </x:c>
    </x:row>
    <x:row r="42" ht="28.5" customHeight="1">
      <x:c r="A42" s="17" t="n">
        <x:v>46261</x:v>
      </x:c>
      <x:c r="B42" s="12" t="str">
        <x:v>industry</x:v>
      </x:c>
      <x:c r="C42" s="12" t="str">
        <x:v>801103.SI</x:v>
      </x:c>
      <x:c r="D42" s="12" t="str">
        <x:v>IT服务Ⅱ</x:v>
      </x:c>
      <x:c r="E42" s="12" t="str">
        <x:v>L2</x:v>
      </x:c>
      <x:c r="F42" s="23" t="n">
        <x:v>145</x:v>
      </x:c>
      <x:c r="G42" s="28" t="n">
        <x:v>0.9241379310344827</x:v>
      </x:c>
      <x:c r="H42" s="28" t="n">
        <x:v>0.004811256865102212</x:v>
      </x:c>
      <x:c r="I42" s="28" t="n">
        <x:v>0.7611940298507462</x:v>
      </x:c>
      <x:c r="J42" s="28" t="n">
        <x:v>0.015731074698658327</x:v>
      </x:c>
      <x:c r="K42" s="28" t="n">
        <x:v>0.8955223880597015</x:v>
      </x:c>
      <x:c r="L42" s="28" t="n">
        <x:v>0.0015783811619380708</x:v>
      </x:c>
      <x:c r="M42" s="28" t="n">
        <x:v>0.6119402985074627</x:v>
      </x:c>
      <x:c r="N42" s="40"/>
      <x:c r="O42" s="28" t="n">
        <x:v>0.11675581535368745</x:v>
      </x:c>
      <x:c r="P42" s="12" t="str">
        <x:v>complete_with_declared_gaps</x:v>
      </x:c>
      <x:c r="Q42" s="25" t="str">
        <x:v>intraday member, time-point, open/close-anchor, or price coverage is incomplete</x:v>
      </x:c>
    </x:row>
    <x:row r="43" ht="28.5" customHeight="1">
      <x:c r="A43" s="18" t="n">
        <x:v>46261</x:v>
      </x:c>
      <x:c r="B43" s="14" t="str">
        <x:v>industry</x:v>
      </x:c>
      <x:c r="C43" s="14" t="str">
        <x:v>801112.SI</x:v>
      </x:c>
      <x:c r="D43" s="14" t="str">
        <x:v>黑色家电</x:v>
      </x:c>
      <x:c r="E43" s="14" t="str">
        <x:v>L2</x:v>
      </x:c>
      <x:c r="F43" s="24" t="n">
        <x:v>9</x:v>
      </x:c>
      <x:c r="G43" s="29" t="n">
        <x:v>1</x:v>
      </x:c>
      <x:c r="H43" s="29" t="n">
        <x:v>0.011987651502978203</x:v>
      </x:c>
      <x:c r="I43" s="29" t="n">
        <x:v>0.8888888888888888</x:v>
      </x:c>
      <x:c r="J43" s="29" t="n">
        <x:v>0.03806707241390973</x:v>
      </x:c>
      <x:c r="K43" s="29" t="n">
        <x:v>1</x:v>
      </x:c>
      <x:c r="L43" s="29" t="n">
        <x:v>0.023741720948078866</x:v>
      </x:c>
      <x:c r="M43" s="29" t="n">
        <x:v>0.8888888888888888</x:v>
      </x:c>
      <x:c r="N43" s="41" t="n">
        <x:v>0.00026231960630875126</x:v>
      </x:c>
      <x:c r="O43" s="29" t="n">
        <x:v>0.7209066578733677</x:v>
      </x:c>
      <x:c r="P43" s="14" t="str">
        <x:v>complete_with_declared_gaps</x:v>
      </x:c>
      <x:c r="Q43" s="26" t="str">
        <x:v>intraday member, time-point, open/close-anchor, or price coverage is incomplete</x:v>
      </x:c>
    </x:row>
    <x:row r="44" ht="28.5" customHeight="1">
      <x:c r="A44" s="17" t="n">
        <x:v>46261</x:v>
      </x:c>
      <x:c r="B44" s="12" t="str">
        <x:v>industry</x:v>
      </x:c>
      <x:c r="C44" s="12" t="str">
        <x:v>801116.SI</x:v>
      </x:c>
      <x:c r="D44" s="12" t="str">
        <x:v>家电零部件Ⅱ</x:v>
      </x:c>
      <x:c r="E44" s="12" t="str">
        <x:v>L2</x:v>
      </x:c>
      <x:c r="F44" s="23" t="n">
        <x:v>34</x:v>
      </x:c>
      <x:c r="G44" s="28" t="n">
        <x:v>1</x:v>
      </x:c>
      <x:c r="H44" s="28" t="n">
        <x:v>0.005959170636753271</x:v>
      </x:c>
      <x:c r="I44" s="28" t="n">
        <x:v>0.6764705882352942</x:v>
      </x:c>
      <x:c r="J44" s="28" t="n">
        <x:v>0.014697960172745404</x:v>
      </x:c>
      <x:c r="K44" s="28" t="n">
        <x:v>0.7941176470588235</x:v>
      </x:c>
      <x:c r="L44" s="28" t="n">
        <x:v>0.010421275826934705</x:v>
      </x:c>
      <x:c r="M44" s="28" t="n">
        <x:v>0.5882352941176471</x:v>
      </x:c>
      <x:c r="N44" s="40" t="n">
        <x:v>0.000037292737635004694</x:v>
      </x:c>
      <x:c r="O44" s="28" t="n">
        <x:v>0.3964211212080979</x:v>
      </x:c>
      <x:c r="P44" s="12" t="str">
        <x:v>complete_with_declared_gaps</x:v>
      </x:c>
      <x:c r="Q44" s="25" t="str">
        <x:v>intraday member, time-point, open/close-anchor, or price coverage is incomplete</x:v>
      </x:c>
    </x:row>
    <x:row r="45" ht="28.5" customHeight="1">
      <x:c r="A45" s="18" t="n">
        <x:v>46261</x:v>
      </x:c>
      <x:c r="B45" s="14" t="str">
        <x:v>industry</x:v>
      </x:c>
      <x:c r="C45" s="14" t="str">
        <x:v>801151.SI</x:v>
      </x:c>
      <x:c r="D45" s="14" t="str">
        <x:v>化学制药</x:v>
      </x:c>
      <x:c r="E45" s="14" t="str">
        <x:v>L2</x:v>
      </x:c>
      <x:c r="F45" s="24" t="n">
        <x:v>166</x:v>
      </x:c>
      <x:c r="G45" s="29" t="n">
        <x:v>0.9457831325301205</x:v>
      </x:c>
      <x:c r="H45" s="29" t="n">
        <x:v>0.005493200414520984</x:v>
      </x:c>
      <x:c r="I45" s="29" t="n">
        <x:v>0.7197452229299363</x:v>
      </x:c>
      <x:c r="J45" s="29" t="n">
        <x:v>0.024585970824838127</x:v>
      </x:c>
      <x:c r="K45" s="29" t="n">
        <x:v>0.8535031847133758</x:v>
      </x:c>
      <x:c r="L45" s="29" t="n">
        <x:v>-0.038009170374321964</x:v>
      </x:c>
      <x:c r="M45" s="29" t="n">
        <x:v>0.20382165605095542</x:v>
      </x:c>
      <x:c r="N45" s="41"/>
      <x:c r="O45" s="29" t="n">
        <x:v>0.1455421597296736</x:v>
      </x:c>
      <x:c r="P45" s="14" t="str">
        <x:v>complete_with_declared_gaps</x:v>
      </x:c>
      <x:c r="Q45" s="26" t="str">
        <x:v>intraday member, time-point, open/close-anchor, or price coverage is incomplete</x:v>
      </x:c>
    </x:row>
    <x:row r="46" ht="28.5" customHeight="1">
      <x:c r="A46" s="17" t="n">
        <x:v>46261</x:v>
      </x:c>
      <x:c r="B46" s="12" t="str">
        <x:v>industry</x:v>
      </x:c>
      <x:c r="C46" s="12" t="str">
        <x:v>801155.SI</x:v>
      </x:c>
      <x:c r="D46" s="12" t="str">
        <x:v>中药Ⅱ</x:v>
      </x:c>
      <x:c r="E46" s="12" t="str">
        <x:v>L2</x:v>
      </x:c>
      <x:c r="F46" s="23" t="n">
        <x:v>75</x:v>
      </x:c>
      <x:c r="G46" s="28" t="n">
        <x:v>0.9066666666666666</x:v>
      </x:c>
      <x:c r="H46" s="28" t="n">
        <x:v>0.0019481462221667151</x:v>
      </x:c>
      <x:c r="I46" s="28" t="n">
        <x:v>0.6764705882352942</x:v>
      </x:c>
      <x:c r="J46" s="28" t="n">
        <x:v>0.03164993982738528</x:v>
      </x:c>
      <x:c r="K46" s="28" t="n">
        <x:v>0.9264705882352942</x:v>
      </x:c>
      <x:c r="L46" s="28" t="n">
        <x:v>-0.012421011937926859</x:v>
      </x:c>
      <x:c r="M46" s="28" t="n">
        <x:v>0.39705882352941174</x:v>
      </x:c>
      <x:c r="N46" s="40"/>
      <x:c r="O46" s="28" t="n">
        <x:v>0.2774815589292279</x:v>
      </x:c>
      <x:c r="P46" s="12" t="str">
        <x:v>complete_with_declared_gaps</x:v>
      </x:c>
      <x:c r="Q46" s="25" t="str">
        <x:v>intraday member, time-point, open/close-anchor, or price coverage is incomplete</x:v>
      </x:c>
    </x:row>
    <x:row r="47" ht="28.5" customHeight="1">
      <x:c r="A47" s="18" t="n">
        <x:v>46261</x:v>
      </x:c>
      <x:c r="B47" s="14" t="str">
        <x:v>industry</x:v>
      </x:c>
      <x:c r="C47" s="14" t="str">
        <x:v>801161.SI</x:v>
      </x:c>
      <x:c r="D47" s="14" t="str">
        <x:v>电力</x:v>
      </x:c>
      <x:c r="E47" s="14" t="str">
        <x:v>L2</x:v>
      </x:c>
      <x:c r="F47" s="24" t="n">
        <x:v>112</x:v>
      </x:c>
      <x:c r="G47" s="29" t="n">
        <x:v>0.9732142857142857</x:v>
      </x:c>
      <x:c r="H47" s="29" t="n">
        <x:v>-0.008739679895761429</x:v>
      </x:c>
      <x:c r="I47" s="29" t="n">
        <x:v>0.3761467889908257</x:v>
      </x:c>
      <x:c r="J47" s="29" t="n">
        <x:v>0.007391473050167359</x:v>
      </x:c>
      <x:c r="K47" s="29" t="n">
        <x:v>0.8256880733944955</x:v>
      </x:c>
      <x:c r="L47" s="29" t="n">
        <x:v>0.014317611391258787</x:v>
      </x:c>
      <x:c r="M47" s="29" t="n">
        <x:v>0.8256880733944955</x:v>
      </x:c>
      <x:c r="N47" s="41"/>
      <x:c r="O47" s="29" t="n">
        <x:v>0.3674273406873652</x:v>
      </x:c>
      <x:c r="P47" s="14" t="str">
        <x:v>complete_with_declared_gaps</x:v>
      </x:c>
      <x:c r="Q47" s="26" t="str">
        <x:v>intraday member, time-point, open/close-anchor, or price coverage is incomplete</x:v>
      </x:c>
    </x:row>
    <x:row r="48" ht="28.5" customHeight="1">
      <x:c r="A48" s="17" t="n">
        <x:v>46261</x:v>
      </x:c>
      <x:c r="B48" s="12" t="str">
        <x:v>industry</x:v>
      </x:c>
      <x:c r="C48" s="12" t="str">
        <x:v>801742.SI</x:v>
      </x:c>
      <x:c r="D48" s="12" t="str">
        <x:v>航空装备Ⅱ</x:v>
      </x:c>
      <x:c r="E48" s="12" t="str">
        <x:v>L2</x:v>
      </x:c>
      <x:c r="F48" s="23" t="n">
        <x:v>51</x:v>
      </x:c>
      <x:c r="G48" s="28" t="n">
        <x:v>0.9215686274509803</x:v>
      </x:c>
      <x:c r="H48" s="28" t="n">
        <x:v>0.006895463679365181</x:v>
      </x:c>
      <x:c r="I48" s="28" t="n">
        <x:v>0.8297872340425532</x:v>
      </x:c>
      <x:c r="J48" s="28" t="n">
        <x:v>0.016254106549843654</x:v>
      </x:c>
      <x:c r="K48" s="28" t="n">
        <x:v>0.851063829787234</x:v>
      </x:c>
      <x:c r="L48" s="28" t="n">
        <x:v>0.0229754599862376</x:v>
      </x:c>
      <x:c r="M48" s="28" t="n">
        <x:v>0.7872340425531915</x:v>
      </x:c>
      <x:c r="N48" s="40"/>
      <x:c r="O48" s="28" t="n">
        <x:v>0.2611358065649553</x:v>
      </x:c>
      <x:c r="P48" s="12" t="str">
        <x:v>complete_with_declared_gaps</x:v>
      </x:c>
      <x:c r="Q48" s="25" t="str">
        <x:v>intraday member, time-point, open/close-anchor, or price coverage is incomplete</x:v>
      </x:c>
    </x:row>
    <x:row r="49" ht="28.5" customHeight="1">
      <x:c r="A49" s="18" t="n">
        <x:v>46262</x:v>
      </x:c>
      <x:c r="B49" s="14" t="str">
        <x:v>industry</x:v>
      </x:c>
      <x:c r="C49" s="14" t="str">
        <x:v>801034.SI</x:v>
      </x:c>
      <x:c r="D49" s="14" t="str">
        <x:v>化学制品</x:v>
      </x:c>
      <x:c r="E49" s="14" t="str">
        <x:v>L2</x:v>
      </x:c>
      <x:c r="F49" s="24" t="n">
        <x:v>184</x:v>
      </x:c>
      <x:c r="G49" s="29" t="n">
        <x:v>1</x:v>
      </x:c>
      <x:c r="H49" s="29" t="n">
        <x:v>0.019964099448304296</x:v>
      </x:c>
      <x:c r="I49" s="29" t="n">
        <x:v>0.7391304347826086</x:v>
      </x:c>
      <x:c r="J49" s="29" t="n">
        <x:v>0.01736278684626368</x:v>
      </x:c>
      <x:c r="K49" s="29" t="n">
        <x:v>0.7650273224043715</x:v>
      </x:c>
      <x:c r="L49" s="29" t="n">
        <x:v>0.025592122495065924</x:v>
      </x:c>
      <x:c r="M49" s="29" t="n">
        <x:v>0.7103825136612022</x:v>
      </x:c>
      <x:c r="N49" s="41" t="n">
        <x:v>0.004611825592008258</x:v>
      </x:c>
      <x:c r="O49" s="29" t="n">
        <x:v>0.0853763937115815</x:v>
      </x:c>
      <x:c r="P49" s="14" t="str">
        <x:v>complete_with_declared_gaps</x:v>
      </x:c>
      <x:c r="Q49" s="26" t="str">
        <x:v>intraday member, time-point, open/close-anchor, or price coverage is incomplete</x:v>
      </x:c>
    </x:row>
    <x:row r="50" ht="28.5" customHeight="1">
      <x:c r="A50" s="17" t="n">
        <x:v>46262</x:v>
      </x:c>
      <x:c r="B50" s="12" t="str">
        <x:v>industry</x:v>
      </x:c>
      <x:c r="C50" s="12" t="str">
        <x:v>801093.SI</x:v>
      </x:c>
      <x:c r="D50" s="12" t="str">
        <x:v>汽车零部件</x:v>
      </x:c>
      <x:c r="E50" s="12" t="str">
        <x:v>L2</x:v>
      </x:c>
      <x:c r="F50" s="23" t="n">
        <x:v>275</x:v>
      </x:c>
      <x:c r="G50" s="28" t="n">
        <x:v>0.9890909090909091</x:v>
      </x:c>
      <x:c r="H50" s="28" t="n">
        <x:v>0.004598845196254248</x:v>
      </x:c>
      <x:c r="I50" s="28" t="n">
        <x:v>0.4963235294117647</x:v>
      </x:c>
      <x:c r="J50" s="28" t="n">
        <x:v>-0.00554806848442934</x:v>
      </x:c>
      <x:c r="K50" s="28" t="n">
        <x:v>0.5477941176470589</x:v>
      </x:c>
      <x:c r="L50" s="28" t="n">
        <x:v>0.019782708798066366</x:v>
      </x:c>
      <x:c r="M50" s="28" t="n">
        <x:v>0.6568265682656826</x:v>
      </x:c>
      <x:c r="N50" s="40"/>
      <x:c r="O50" s="28" t="n">
        <x:v>0.13081584604797677</x:v>
      </x:c>
      <x:c r="P50" s="12" t="str">
        <x:v>complete_with_declared_gaps</x:v>
      </x:c>
      <x:c r="Q50" s="25" t="str">
        <x:v>intraday member, time-point, open/close-anchor, or price coverage is incomplete</x:v>
      </x:c>
    </x:row>
    <x:row r="51" ht="28.5" customHeight="1">
      <x:c r="A51" s="18" t="n">
        <x:v>46262</x:v>
      </x:c>
      <x:c r="B51" s="14" t="str">
        <x:v>industry</x:v>
      </x:c>
      <x:c r="C51" s="14" t="str">
        <x:v>801154.SI</x:v>
      </x:c>
      <x:c r="D51" s="14" t="str">
        <x:v>医药商业</x:v>
      </x:c>
      <x:c r="E51" s="14" t="str">
        <x:v>L2</x:v>
      </x:c>
      <x:c r="F51" s="24" t="n">
        <x:v>33</x:v>
      </x:c>
      <x:c r="G51" s="29" t="n">
        <x:v>0.9696969696969697</x:v>
      </x:c>
      <x:c r="H51" s="29" t="n">
        <x:v>0.004718746177459217</x:v>
      </x:c>
      <x:c r="I51" s="29" t="n">
        <x:v>0.5</x:v>
      </x:c>
      <x:c r="J51" s="29" t="n">
        <x:v>-0.013092103965050502</x:v>
      </x:c>
      <x:c r="K51" s="29" t="n">
        <x:v>0.53125</x:v>
      </x:c>
      <x:c r="L51" s="29" t="n">
        <x:v>0.017576262008144505</x:v>
      </x:c>
      <x:c r="M51" s="29" t="n">
        <x:v>0.625</x:v>
      </x:c>
      <x:c r="N51" s="41"/>
      <x:c r="O51" s="29" t="n">
        <x:v>0.4798631837245177</x:v>
      </x:c>
      <x:c r="P51" s="14" t="str">
        <x:v>complete_with_declared_gaps</x:v>
      </x:c>
      <x:c r="Q51" s="26" t="str">
        <x:v>intraday member, time-point, open/close-anchor, or price coverage is incomplete</x:v>
      </x:c>
    </x:row>
    <x:row r="52" ht="28.5" customHeight="1">
      <x:c r="A52" s="17" t="n">
        <x:v>46262</x:v>
      </x:c>
      <x:c r="B52" s="12" t="str">
        <x:v>industry</x:v>
      </x:c>
      <x:c r="C52" s="12" t="str">
        <x:v>801204.SI</x:v>
      </x:c>
      <x:c r="D52" s="12" t="str">
        <x:v>专业连锁Ⅱ</x:v>
      </x:c>
      <x:c r="E52" s="12" t="str">
        <x:v>L2</x:v>
      </x:c>
      <x:c r="F52" s="23" t="n">
        <x:v>8</x:v>
      </x:c>
      <x:c r="G52" s="28" t="n">
        <x:v>0.875</x:v>
      </x:c>
      <x:c r="H52" s="28" t="n">
        <x:v>0.01650079274620992</x:v>
      </x:c>
      <x:c r="I52" s="28" t="n">
        <x:v>1</x:v>
      </x:c>
      <x:c r="J52" s="28" t="n">
        <x:v>0.005129397071644455</x:v>
      </x:c>
      <x:c r="K52" s="28" t="n">
        <x:v>0.8571428571428571</x:v>
      </x:c>
      <x:c r="L52" s="28" t="n">
        <x:v>0.03067150751516969</x:v>
      </x:c>
      <x:c r="M52" s="28" t="n">
        <x:v>1</x:v>
      </x:c>
      <x:c r="N52" s="40"/>
      <x:c r="O52" s="28" t="n">
        <x:v>0.7082924380805904</x:v>
      </x:c>
      <x:c r="P52" s="12" t="str">
        <x:v>complete_with_declared_gaps</x:v>
      </x:c>
      <x:c r="Q52" s="25" t="str">
        <x:v>intraday member, time-point, open/close-anchor, or price coverage is incomplete</x:v>
      </x:c>
    </x:row>
    <x:row r="53" ht="28.5" customHeight="1">
      <x:c r="A53" s="18" t="n">
        <x:v>46262</x:v>
      </x:c>
      <x:c r="B53" s="14" t="str">
        <x:v>industry</x:v>
      </x:c>
      <x:c r="C53" s="14" t="str">
        <x:v>801712.SI</x:v>
      </x:c>
      <x:c r="D53" s="14" t="str">
        <x:v>玻璃玻纤</x:v>
      </x:c>
      <x:c r="E53" s="14" t="str">
        <x:v>L2</x:v>
      </x:c>
      <x:c r="F53" s="24" t="n">
        <x:v>16</x:v>
      </x:c>
      <x:c r="G53" s="29" t="n">
        <x:v>1</x:v>
      </x:c>
      <x:c r="H53" s="29" t="n">
        <x:v>0.0177131423225681</x:v>
      </x:c>
      <x:c r="I53" s="29" t="n">
        <x:v>0.8125</x:v>
      </x:c>
      <x:c r="J53" s="29" t="n">
        <x:v>0.024086561581652163</x:v>
      </x:c>
      <x:c r="K53" s="29" t="n">
        <x:v>1</x:v>
      </x:c>
      <x:c r="L53" s="29" t="n">
        <x:v>0.015339760380762832</x:v>
      </x:c>
      <x:c r="M53" s="29" t="n">
        <x:v>0.6875</x:v>
      </x:c>
      <x:c r="N53" s="41" t="n">
        <x:v>0.00047560475918706144</x:v>
      </x:c>
      <x:c r="O53" s="29" t="n">
        <x:v>0.6698067107038955</x:v>
      </x:c>
      <x:c r="P53" s="14" t="str">
        <x:v>complete_with_declared_gaps</x:v>
      </x:c>
      <x:c r="Q53" s="26" t="str">
        <x:v>intraday member, time-point, open/close-anchor, or price coverage is incomplete</x:v>
      </x:c>
    </x:row>
    <x:row r="54" ht="28.5" customHeight="1">
      <x:c r="A54" s="17" t="n">
        <x:v>46262</x:v>
      </x:c>
      <x:c r="B54" s="12" t="str">
        <x:v>industry</x:v>
      </x:c>
      <x:c r="C54" s="12" t="str">
        <x:v>801724.SI</x:v>
      </x:c>
      <x:c r="D54" s="12" t="str">
        <x:v>专业工程</x:v>
      </x:c>
      <x:c r="E54" s="12" t="str">
        <x:v>L2</x:v>
      </x:c>
      <x:c r="F54" s="23" t="n">
        <x:v>43</x:v>
      </x:c>
      <x:c r="G54" s="28" t="n">
        <x:v>0.9069767441860465</x:v>
      </x:c>
      <x:c r="H54" s="28" t="n">
        <x:v>0.01331328157078666</x:v>
      </x:c>
      <x:c r="I54" s="28" t="n">
        <x:v>0.6923076923076923</x:v>
      </x:c>
      <x:c r="J54" s="28" t="n">
        <x:v>0.003456595160593944</x:v>
      </x:c>
      <x:c r="K54" s="28" t="n">
        <x:v>0.7692307692307693</x:v>
      </x:c>
      <x:c r="L54" s="28" t="n">
        <x:v>0.02673236990105216</x:v>
      </x:c>
      <x:c r="M54" s="28" t="n">
        <x:v>0.717948717948718</x:v>
      </x:c>
      <x:c r="N54" s="40"/>
      <x:c r="O54" s="28" t="n">
        <x:v>0.34058242762981844</x:v>
      </x:c>
      <x:c r="P54" s="12" t="str">
        <x:v>complete_with_declared_gaps</x:v>
      </x:c>
      <x:c r="Q54" s="25" t="str">
        <x:v>intraday member, time-point, open/close-anchor, or price coverage is incomplete</x:v>
      </x:c>
    </x:row>
    <x:row r="55" ht="28.5" customHeight="1">
      <x:c r="A55" s="18" t="n">
        <x:v>46262</x:v>
      </x:c>
      <x:c r="B55" s="14" t="str">
        <x:v>industry</x:v>
      </x:c>
      <x:c r="C55" s="14" t="str">
        <x:v>801744.SI</x:v>
      </x:c>
      <x:c r="D55" s="14" t="str">
        <x:v>航海装备Ⅱ</x:v>
      </x:c>
      <x:c r="E55" s="14" t="str">
        <x:v>L2</x:v>
      </x:c>
      <x:c r="F55" s="24" t="n">
        <x:v>11</x:v>
      </x:c>
      <x:c r="G55" s="29" t="n">
        <x:v>0.9090909090909091</x:v>
      </x:c>
      <x:c r="H55" s="29" t="n">
        <x:v>0.007666394127940912</x:v>
      </x:c>
      <x:c r="I55" s="29" t="n">
        <x:v>0.7</x:v>
      </x:c>
      <x:c r="J55" s="29" t="n">
        <x:v>-0.0003284610685596375</x:v>
      </x:c>
      <x:c r="K55" s="29" t="n">
        <x:v>0.9</x:v>
      </x:c>
      <x:c r="L55" s="29" t="n">
        <x:v>0.031073276892435043</x:v>
      </x:c>
      <x:c r="M55" s="29" t="n">
        <x:v>1</x:v>
      </x:c>
      <x:c r="N55" s="41"/>
      <x:c r="O55" s="29" t="n">
        <x:v>0.749398308399346</x:v>
      </x:c>
      <x:c r="P55" s="14" t="str">
        <x:v>complete_with_declared_gaps</x:v>
      </x:c>
      <x:c r="Q55" s="26" t="str">
        <x:v>intraday member, time-point, open/close-anchor, or price coverage is incomplete</x:v>
      </x:c>
    </x:row>
  </x:sheetData>
  <x:pageMargins left="0.7" right="0.7" top="0.75" bottom="0.75" header="0.3" footer="0.3"/>
  <x:tableParts count="1">
    <x:tablePart xmlns:r="http://schemas.openxmlformats.org/officeDocument/2006/relationships" r:id="Rd5067b1fe7b64ed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9.779999732971191" hidden="0" customWidth="1"/>
    <x:col min="3" max="3" width="9.109999656677246" hidden="0" customWidth="1"/>
    <x:col min="4" max="4" width="9.109999656677246" hidden="0" customWidth="1"/>
    <x:col min="5" max="5" width="9.109999656677246" hidden="0" customWidth="1"/>
    <x:col min="6" max="6" width="9.109999656677246" hidden="0" customWidth="1"/>
    <x:col min="7" max="7" width="11.109999656677246" hidden="0" customWidth="1"/>
    <x:col min="8" max="8" width="11.670000076293945" hidden="0" customWidth="1"/>
    <x:col min="9" max="9" width="11.670000076293945" hidden="0" customWidth="1"/>
    <x:col min="10" max="10" width="9.779999732971191" hidden="0" customWidth="1"/>
    <x:col min="11" max="11" width="9.779999732971191" hidden="0" customWidth="1"/>
    <x:col min="12" max="12" width="11.109999656677246" hidden="0" customWidth="1"/>
    <x:col min="13" max="13" width="13.329999923706055" hidden="0" customWidth="1"/>
    <x:col min="14" max="14" width="11.109999656677246" hidden="0" customWidth="1"/>
    <x:col min="15" max="15" width="13.109999656677246" hidden="0" customWidth="1"/>
    <x:col min="16" max="16" width="11.109999656677246" hidden="0" customWidth="1"/>
    <x:col min="17" max="17" width="24.440000534057617" hidden="0" customWidth="1"/>
    <x:col min="18" max="18" width="24.440000534057617" hidden="0" customWidth="1"/>
    <x:col min="19" max="19" width="28.889999389648438" hidden="0" customWidth="1"/>
  </x:cols>
  <x:sheetData>
    <x:row r="1" ht="25.5" customHeight="1">
      <x:c r="A1" s="16" t="str">
        <x:v>形成日</x:v>
      </x:c>
      <x:c r="B1" s="11" t="str">
        <x:v>代码</x:v>
      </x:c>
      <x:c r="C1" s="27" t="str">
        <x:v>1日收益</x:v>
      </x:c>
      <x:c r="D1" s="27" t="str">
        <x:v>3日收益</x:v>
      </x:c>
      <x:c r="E1" s="27" t="str">
        <x:v>5日收益</x:v>
      </x:c>
      <x:c r="F1" s="27" t="str">
        <x:v>20日收益</x:v>
      </x:c>
      <x:c r="G1" s="27" t="str">
        <x:v>5日相对市场</x:v>
      </x:c>
      <x:c r="H1" s="36" t="str">
        <x:v>成交额比20日</x:v>
      </x:c>
      <x:c r="I1" s="42" t="str">
        <x:v>5日价量效率</x:v>
      </x:c>
      <x:c r="J1" s="27" t="str">
        <x:v>涨停贡献</x:v>
      </x:c>
      <x:c r="K1" s="27" t="str">
        <x:v>60日位置</x:v>
      </x:c>
      <x:c r="L1" s="11" t="str">
        <x:v>主行业代码</x:v>
      </x:c>
      <x:c r="M1" s="11" t="str">
        <x:v>主行业</x:v>
      </x:c>
      <x:c r="N1" s="27" t="str">
        <x:v>5日相对行业</x:v>
      </x:c>
      <x:c r="O1" s="30" t="str">
        <x:v>20%目标ATR距离</x:v>
      </x:c>
      <x:c r="P1" s="11" t="str">
        <x:v>覆盖状态</x:v>
      </x:c>
      <x:c r="Q1" s="11" t="str">
        <x:v>情景Case</x:v>
      </x:c>
      <x:c r="R1" s="11" t="str">
        <x:v>情景Control</x:v>
      </x:c>
      <x:c r="S1" s="11" t="str">
        <x:v>限制</x:v>
      </x:c>
    </x:row>
    <x:row r="2" ht="28.5" customHeight="1">
      <x:c r="A2" s="17" t="n">
        <x:v>46253</x:v>
      </x:c>
      <x:c r="B2" s="12" t="str">
        <x:v>000505.SZ</x:v>
      </x:c>
      <x:c r="C2" s="28" t="n">
        <x:v>0.10014727540500745</x:v>
      </x:c>
      <x:c r="D2" s="28" t="n">
        <x:v>0.3315508021390372</x:v>
      </x:c>
      <x:c r="E2" s="28" t="n">
        <x:v>0.30366492146596835</x:v>
      </x:c>
      <x:c r="F2" s="28" t="n">
        <x:v>0.4174573055028463</x:v>
      </x:c>
      <x:c r="G2" s="28" t="n">
        <x:v>0.32545618549720845</x:v>
      </x:c>
      <x:c r="H2" s="37" t="n">
        <x:v>4.641619462825072</x:v>
      </x:c>
      <x:c r="I2" s="43" t="n">
        <x:v>0.9826335596224552</x:v>
      </x:c>
      <x:c r="J2" s="28" t="n">
        <x:v>1</x:v>
      </x:c>
      <x:c r="K2" s="28" t="n">
        <x:v>1</x:v>
      </x:c>
      <x:c r="L2" s="12"/>
      <x:c r="M2" s="12"/>
      <x:c r="N2" s="28"/>
      <x:c r="O2" s="31"/>
      <x:c r="P2" s="12" t="str">
        <x:v>complete</x:v>
      </x:c>
      <x:c r="Q2" s="25"/>
      <x:c r="R2" s="25"/>
      <x:c r="S2" s="25" t="str"/>
    </x:row>
    <x:row r="3" ht="28.5" customHeight="1">
      <x:c r="A3" s="18" t="n">
        <x:v>46253</x:v>
      </x:c>
      <x:c r="B3" s="14" t="str">
        <x:v>000703.SZ</x:v>
      </x:c>
      <x:c r="C3" s="29" t="n">
        <x:v>0.09215798511734397</x:v>
      </x:c>
      <x:c r="D3" s="29" t="n">
        <x:v>0.1370679380214539</x:v>
      </x:c>
      <x:c r="E3" s="29" t="n">
        <x:v>0.11253644314868794</x:v>
      </x:c>
      <x:c r="F3" s="29" t="n">
        <x:v>0.2585751978891817</x:v>
      </x:c>
      <x:c r="G3" s="29" t="n">
        <x:v>0.13432770717992804</x:v>
      </x:c>
      <x:c r="H3" s="38" t="n">
        <x:v>2.246683228060319</x:v>
      </x:c>
      <x:c r="I3" s="44" t="n">
        <x:v>0.873010766836449</x:v>
      </x:c>
      <x:c r="J3" s="29" t="n">
        <x:v>0</x:v>
      </x:c>
      <x:c r="K3" s="29" t="n">
        <x:v>1</x:v>
      </x:c>
      <x:c r="L3" s="14"/>
      <x:c r="M3" s="14"/>
      <x:c r="N3" s="29"/>
      <x:c r="O3" s="32"/>
      <x:c r="P3" s="14" t="str">
        <x:v>complete</x:v>
      </x:c>
      <x:c r="Q3" s="26"/>
      <x:c r="R3" s="26"/>
      <x:c r="S3" s="26" t="str"/>
    </x:row>
    <x:row r="4" ht="28.5" customHeight="1">
      <x:c r="A4" s="17" t="n">
        <x:v>46253</x:v>
      </x:c>
      <x:c r="B4" s="12" t="str">
        <x:v>000723.SZ</x:v>
      </x:c>
      <x:c r="C4" s="28" t="n">
        <x:v>0.09887005649717517</x:v>
      </x:c>
      <x:c r="D4" s="28" t="n">
        <x:v>0.07756232686980602</x:v>
      </x:c>
      <x:c r="E4" s="28" t="n">
        <x:v>0.07458563535911611</x:v>
      </x:c>
      <x:c r="F4" s="28" t="n">
        <x:v>0.0926966292134832</x:v>
      </x:c>
      <x:c r="G4" s="28" t="n">
        <x:v>0.09637689939035621</x:v>
      </x:c>
      <x:c r="H4" s="37" t="n">
        <x:v>3.2881094813897067</x:v>
      </x:c>
      <x:c r="I4" s="43" t="n">
        <x:v>0.9037145919012279</x:v>
      </x:c>
      <x:c r="J4" s="28" t="n">
        <x:v>1</x:v>
      </x:c>
      <x:c r="K4" s="28" t="n">
        <x:v>0.5416666666666664</x:v>
      </x:c>
      <x:c r="L4" s="12"/>
      <x:c r="M4" s="12"/>
      <x:c r="N4" s="28"/>
      <x:c r="O4" s="31"/>
      <x:c r="P4" s="12" t="str">
        <x:v>complete</x:v>
      </x:c>
      <x:c r="Q4" s="25"/>
      <x:c r="R4" s="25"/>
      <x:c r="S4" s="25" t="str"/>
    </x:row>
    <x:row r="5" ht="28.5" customHeight="1">
      <x:c r="A5" s="18" t="n">
        <x:v>46253</x:v>
      </x:c>
      <x:c r="B5" s="14" t="str">
        <x:v>002508.SZ</x:v>
      </x:c>
      <x:c r="C5" s="29" t="n">
        <x:v>0.04317460317460298</x:v>
      </x:c>
      <x:c r="D5" s="29" t="n">
        <x:v>0.039215686274509665</x:v>
      </x:c>
      <x:c r="E5" s="29" t="n">
        <x:v>0.02431421446384041</x:v>
      </x:c>
      <x:c r="F5" s="29" t="n">
        <x:v>0.05659163987138238</x:v>
      </x:c>
      <x:c r="G5" s="29" t="n">
        <x:v>0.04610547849508051</x:v>
      </x:c>
      <x:c r="H5" s="38" t="n">
        <x:v>2.1134559187833784</x:v>
      </x:c>
      <x:c r="I5" s="44" t="n">
        <x:v>0.6911772709893976</x:v>
      </x:c>
      <x:c r="J5" s="29" t="n">
        <x:v>0</x:v>
      </x:c>
      <x:c r="K5" s="29" t="n">
        <x:v>0.8160804639579162</x:v>
      </x:c>
      <x:c r="L5" s="14"/>
      <x:c r="M5" s="14"/>
      <x:c r="N5" s="29"/>
      <x:c r="O5" s="32"/>
      <x:c r="P5" s="14" t="str">
        <x:v>complete</x:v>
      </x:c>
      <x:c r="Q5" s="26"/>
      <x:c r="R5" s="26"/>
      <x:c r="S5" s="26" t="str"/>
    </x:row>
    <x:row r="6" ht="28.5" customHeight="1">
      <x:c r="A6" s="17" t="n">
        <x:v>46253</x:v>
      </x:c>
      <x:c r="B6" s="12" t="str">
        <x:v>002543.SZ</x:v>
      </x:c>
      <x:c r="C6" s="28" t="n">
        <x:v>0.10029069767441867</x:v>
      </x:c>
      <x:c r="D6" s="28" t="n">
        <x:v>0.0829756795422032</x:v>
      </x:c>
      <x:c r="E6" s="28" t="n">
        <x:v>0.13663663663663672</x:v>
      </x:c>
      <x:c r="F6" s="28" t="n">
        <x:v>0.19589257503949464</x:v>
      </x:c>
      <x:c r="G6" s="28" t="n">
        <x:v>0.15842790066787682</x:v>
      </x:c>
      <x:c r="H6" s="37" t="n">
        <x:v>4.60839835383907</x:v>
      </x:c>
      <x:c r="I6" s="43" t="n">
        <x:v>0.6348607043569559</x:v>
      </x:c>
      <x:c r="J6" s="28" t="n">
        <x:v>1</x:v>
      </x:c>
      <x:c r="K6" s="28" t="n">
        <x:v>1</x:v>
      </x:c>
      <x:c r="L6" s="12"/>
      <x:c r="M6" s="12"/>
      <x:c r="N6" s="28"/>
      <x:c r="O6" s="31"/>
      <x:c r="P6" s="12" t="str">
        <x:v>complete</x:v>
      </x:c>
      <x:c r="Q6" s="25"/>
      <x:c r="R6" s="25"/>
      <x:c r="S6" s="25" t="str"/>
    </x:row>
    <x:row r="7" ht="28.5" customHeight="1">
      <x:c r="A7" s="18" t="n">
        <x:v>46253</x:v>
      </x:c>
      <x:c r="B7" s="14" t="str">
        <x:v>300035.SZ</x:v>
      </x:c>
      <x:c r="C7" s="29" t="n">
        <x:v>0.08413284132841325</x:v>
      </x:c>
      <x:c r="D7" s="29" t="n">
        <x:v>0.08094186902133926</x:v>
      </x:c>
      <x:c r="E7" s="29" t="n">
        <x:v>0.06141618497109835</x:v>
      </x:c>
      <x:c r="F7" s="29" t="n">
        <x:v>0.17802726543704894</x:v>
      </x:c>
      <x:c r="G7" s="29" t="n">
        <x:v>0.08320744900233845</x:v>
      </x:c>
      <x:c r="H7" s="38" t="n">
        <x:v>3.8511560879728477</x:v>
      </x:c>
      <x:c r="I7" s="44" t="n">
        <x:v>0.884505370897467</x:v>
      </x:c>
      <x:c r="J7" s="29" t="n">
        <x:v>0</x:v>
      </x:c>
      <x:c r="K7" s="29" t="n">
        <x:v>0.43572621035058434</x:v>
      </x:c>
      <x:c r="L7" s="14"/>
      <x:c r="M7" s="14"/>
      <x:c r="N7" s="29"/>
      <x:c r="O7" s="32"/>
      <x:c r="P7" s="14" t="str">
        <x:v>complete</x:v>
      </x:c>
      <x:c r="Q7" s="26"/>
      <x:c r="R7" s="26"/>
      <x:c r="S7" s="26" t="str"/>
    </x:row>
    <x:row r="8" ht="28.5" customHeight="1">
      <x:c r="A8" s="17" t="n">
        <x:v>46253</x:v>
      </x:c>
      <x:c r="B8" s="12" t="str">
        <x:v>300757.SZ</x:v>
      </x:c>
      <x:c r="C8" s="28" t="n">
        <x:v>-0.11619183546504175</x:v>
      </x:c>
      <x:c r="D8" s="28" t="n">
        <x:v>-0.06393410852713177</x:v>
      </x:c>
      <x:c r="E8" s="28" t="n">
        <x:v>-0.06362561308958392</x:v>
      </x:c>
      <x:c r="F8" s="28" t="n">
        <x:v>0.11552229843645345</x:v>
      </x:c>
      <x:c r="G8" s="28" t="n">
        <x:v>-0.04183434905834382</x:v>
      </x:c>
      <x:c r="H8" s="37" t="n">
        <x:v>1.2345839338747226</x:v>
      </x:c>
      <x:c r="I8" s="43" t="n">
        <x:v>-0.3824946156150184</x:v>
      </x:c>
      <x:c r="J8" s="28" t="n">
        <x:v>0</x:v>
      </x:c>
      <x:c r="K8" s="28" t="n">
        <x:v>0.3791638856865482</x:v>
      </x:c>
      <x:c r="L8" s="12"/>
      <x:c r="M8" s="12"/>
      <x:c r="N8" s="28"/>
      <x:c r="O8" s="31"/>
      <x:c r="P8" s="12" t="str">
        <x:v>complete</x:v>
      </x:c>
      <x:c r="Q8" s="25"/>
      <x:c r="R8" s="25"/>
      <x:c r="S8" s="25" t="str"/>
    </x:row>
    <x:row r="9" ht="28.5" customHeight="1">
      <x:c r="A9" s="18" t="n">
        <x:v>46253</x:v>
      </x:c>
      <x:c r="B9" s="14" t="str">
        <x:v>300900.SZ</x:v>
      </x:c>
      <x:c r="C9" s="29" t="n">
        <x:v>-0.11509949278189602</x:v>
      </x:c>
      <x:c r="D9" s="29" t="n">
        <x:v>-0.07125307125307123</x:v>
      </x:c>
      <x:c r="E9" s="29" t="n">
        <x:v>-0.08103727714748787</x:v>
      </x:c>
      <x:c r="F9" s="29" t="n">
        <x:v>-0.0008810572687224516</x:v>
      </x:c>
      <x:c r="G9" s="29" t="n">
        <x:v>-0.059246013116247775</x:v>
      </x:c>
      <x:c r="H9" s="38" t="n">
        <x:v>2.4485522634426906</x:v>
      </x:c>
      <x:c r="I9" s="44" t="n">
        <x:v>-0.6868469333707984</x:v>
      </x:c>
      <x:c r="J9" s="29" t="n">
        <x:v>0</x:v>
      </x:c>
      <x:c r="K9" s="29" t="n">
        <x:v>0.11659614480488965</x:v>
      </x:c>
      <x:c r="L9" s="14"/>
      <x:c r="M9" s="14"/>
      <x:c r="N9" s="29"/>
      <x:c r="O9" s="32"/>
      <x:c r="P9" s="14" t="str">
        <x:v>complete</x:v>
      </x:c>
      <x:c r="Q9" s="26"/>
      <x:c r="R9" s="26"/>
      <x:c r="S9" s="26" t="str"/>
    </x:row>
    <x:row r="10" ht="28.5" customHeight="1">
      <x:c r="A10" s="17" t="n">
        <x:v>46253</x:v>
      </x:c>
      <x:c r="B10" s="12" t="str">
        <x:v>300911.SZ</x:v>
      </x:c>
      <x:c r="C10" s="28" t="n">
        <x:v>0.19981998199819984</x:v>
      </x:c>
      <x:c r="D10" s="28" t="n">
        <x:v>0.20415537488708213</x:v>
      </x:c>
      <x:c r="E10" s="28" t="n">
        <x:v>0.21735159817351613</x:v>
      </x:c>
      <x:c r="F10" s="28" t="n">
        <x:v>0.40909090909090895</x:v>
      </x:c>
      <x:c r="G10" s="28" t="n">
        <x:v>0.23914286220475622</x:v>
      </x:c>
      <x:c r="H10" s="37" t="n">
        <x:v>2.725551531894075</x:v>
      </x:c>
      <x:c r="I10" s="43" t="n">
        <x:v>0.8200071046786745</x:v>
      </x:c>
      <x:c r="J10" s="28" t="n">
        <x:v>0.7087727557745991</x:v>
      </x:c>
      <x:c r="K10" s="28" t="n">
        <x:v>0.9271739130434783</x:v>
      </x:c>
      <x:c r="L10" s="12"/>
      <x:c r="M10" s="12"/>
      <x:c r="N10" s="28"/>
      <x:c r="O10" s="31"/>
      <x:c r="P10" s="12" t="str">
        <x:v>complete</x:v>
      </x:c>
      <x:c r="Q10" s="25"/>
      <x:c r="R10" s="25"/>
      <x:c r="S10" s="25" t="str"/>
    </x:row>
    <x:row r="11" ht="28.5" customHeight="1">
      <x:c r="A11" s="18" t="n">
        <x:v>46253</x:v>
      </x:c>
      <x:c r="B11" s="14" t="str">
        <x:v>301085.SZ</x:v>
      </x:c>
      <x:c r="C11" s="29" t="n">
        <x:v>0.01829554339327588</x:v>
      </x:c>
      <x:c r="D11" s="29" t="n">
        <x:v>0.031195566112430795</x:v>
      </x:c>
      <x:c r="E11" s="29" t="n">
        <x:v>0.0592062459336371</x:v>
      </x:c>
      <x:c r="F11" s="29" t="n">
        <x:v>0.22107631726982957</x:v>
      </x:c>
      <x:c r="G11" s="29" t="n">
        <x:v>0.0809975099648772</x:v>
      </x:c>
      <x:c r="H11" s="38" t="n">
        <x:v>2.1801105847023736</x:v>
      </x:c>
      <x:c r="I11" s="44" t="n">
        <x:v>0.9457965035703424</x:v>
      </x:c>
      <x:c r="J11" s="29" t="n">
        <x:v>0</x:v>
      </x:c>
      <x:c r="K11" s="29" t="n">
        <x:v>0.5326671790930054</x:v>
      </x:c>
      <x:c r="L11" s="14"/>
      <x:c r="M11" s="14"/>
      <x:c r="N11" s="29"/>
      <x:c r="O11" s="32"/>
      <x:c r="P11" s="14" t="str">
        <x:v>complete</x:v>
      </x:c>
      <x:c r="Q11" s="26"/>
      <x:c r="R11" s="26"/>
      <x:c r="S11" s="26" t="str"/>
    </x:row>
    <x:row r="12" ht="28.5" customHeight="1">
      <x:c r="A12" s="17" t="n">
        <x:v>46253</x:v>
      </x:c>
      <x:c r="B12" s="12" t="str">
        <x:v>301106.SZ</x:v>
      </x:c>
      <x:c r="C12" s="28" t="n">
        <x:v>0.20018885741265358</x:v>
      </x:c>
      <x:c r="D12" s="28" t="n">
        <x:v>0.47533372025536846</x:v>
      </x:c>
      <x:c r="E12" s="28" t="n">
        <x:v>0.4693641618497111</x:v>
      </x:c>
      <x:c r="F12" s="28" t="n">
        <x:v>0.7152496626180838</x:v>
      </x:c>
      <x:c r="G12" s="28" t="n">
        <x:v>0.4911554258809512</x:v>
      </x:c>
      <x:c r="H12" s="37" t="n">
        <x:v>8.226822515692001</x:v>
      </x:c>
      <x:c r="I12" s="43" t="n">
        <x:v>0.9929312945541945</x:v>
      </x:c>
      <x:c r="J12" s="28" t="n">
        <x:v>0.9172144615756218</x:v>
      </x:c>
      <x:c r="K12" s="28" t="n">
        <x:v>0.9042016806722692</x:v>
      </x:c>
      <x:c r="L12" s="12"/>
      <x:c r="M12" s="12"/>
      <x:c r="N12" s="28"/>
      <x:c r="O12" s="31"/>
      <x:c r="P12" s="12" t="str">
        <x:v>complete</x:v>
      </x:c>
      <x:c r="Q12" s="25"/>
      <x:c r="R12" s="25"/>
      <x:c r="S12" s="25" t="str"/>
    </x:row>
    <x:row r="13" ht="28.5" customHeight="1">
      <x:c r="A13" s="18" t="n">
        <x:v>46253</x:v>
      </x:c>
      <x:c r="B13" s="14" t="str">
        <x:v>301235.SZ</x:v>
      </x:c>
      <x:c r="C13" s="29" t="n">
        <x:v>-0.09857142857142853</x:v>
      </x:c>
      <x:c r="D13" s="29" t="n">
        <x:v>-0.03558951965065493</x:v>
      </x:c>
      <x:c r="E13" s="29" t="n">
        <x:v>-0.0659758934235567</x:v>
      </x:c>
      <x:c r="F13" s="29" t="n">
        <x:v>0.17661161427810357</x:v>
      </x:c>
      <x:c r="G13" s="29" t="n">
        <x:v>-0.0441846293923166</x:v>
      </x:c>
      <x:c r="H13" s="38" t="n">
        <x:v>1.2244104493539423</x:v>
      </x:c>
      <x:c r="I13" s="44" t="n">
        <x:v>-0.0875318239626788</x:v>
      </x:c>
      <x:c r="J13" s="29" t="n">
        <x:v>0</x:v>
      </x:c>
      <x:c r="K13" s="29" t="n">
        <x:v>0.25838769804287054</x:v>
      </x:c>
      <x:c r="L13" s="14"/>
      <x:c r="M13" s="14"/>
      <x:c r="N13" s="29"/>
      <x:c r="O13" s="32"/>
      <x:c r="P13" s="14" t="str">
        <x:v>complete</x:v>
      </x:c>
      <x:c r="Q13" s="26"/>
      <x:c r="R13" s="26"/>
      <x:c r="S13" s="26" t="str"/>
    </x:row>
    <x:row r="14" ht="28.5" customHeight="1">
      <x:c r="A14" s="17" t="n">
        <x:v>46253</x:v>
      </x:c>
      <x:c r="B14" s="12" t="str">
        <x:v>600127.SH</x:v>
      </x:c>
      <x:c r="C14" s="28" t="n">
        <x:v>0.09985935302391002</x:v>
      </x:c>
      <x:c r="D14" s="28" t="n">
        <x:v>0.33219761499148226</x:v>
      </x:c>
      <x:c r="E14" s="28" t="n">
        <x:v>0.2777777777777779</x:v>
      </x:c>
      <x:c r="F14" s="28" t="n">
        <x:v>0.41666666666666696</x:v>
      </x:c>
      <x:c r="G14" s="28" t="n">
        <x:v>0.299569041809018</x:v>
      </x:c>
      <x:c r="H14" s="37" t="n">
        <x:v>1.3556187557353172</x:v>
      </x:c>
      <x:c r="I14" s="43" t="n">
        <x:v>0.8316884129770519</x:v>
      </x:c>
      <x:c r="J14" s="28" t="n">
        <x:v>1</x:v>
      </x:c>
      <x:c r="K14" s="28" t="n">
        <x:v>1</x:v>
      </x:c>
      <x:c r="L14" s="12"/>
      <x:c r="M14" s="12"/>
      <x:c r="N14" s="28"/>
      <x:c r="O14" s="31"/>
      <x:c r="P14" s="12" t="str">
        <x:v>limited</x:v>
      </x:c>
      <x:c r="Q14" s="25"/>
      <x:c r="R14" s="25"/>
      <x:c r="S14" s="25" t="str">
        <x:v>scenario inputs unavailable: mean_close_position_5d, upper_shadow_frequency_5d, fade_frequency_5d</x:v>
      </x:c>
    </x:row>
    <x:row r="15" ht="28.5" customHeight="1">
      <x:c r="A15" s="18" t="n">
        <x:v>46253</x:v>
      </x:c>
      <x:c r="B15" s="14" t="str">
        <x:v>600346.SH</x:v>
      </x:c>
      <x:c r="C15" s="29" t="n">
        <x:v>0.05011135857461002</x:v>
      </x:c>
      <x:c r="D15" s="29" t="n">
        <x:v>0.10099241097489786</x:v>
      </x:c>
      <x:c r="E15" s="29" t="n">
        <x:v>0.06253521126760564</x:v>
      </x:c>
      <x:c r="F15" s="29" t="n">
        <x:v>0.1499999999999999</x:v>
      </x:c>
      <x:c r="G15" s="29" t="n">
        <x:v>0.08432647529884574</x:v>
      </x:c>
      <x:c r="H15" s="38" t="n">
        <x:v>2.248066662833048</x:v>
      </x:c>
      <x:c r="I15" s="44" t="n">
        <x:v>0.5954079268679922</x:v>
      </x:c>
      <x:c r="J15" s="29" t="n">
        <x:v>0</x:v>
      </x:c>
      <x:c r="K15" s="29" t="n">
        <x:v>0.98974358974359</x:v>
      </x:c>
      <x:c r="L15" s="14"/>
      <x:c r="M15" s="14"/>
      <x:c r="N15" s="29"/>
      <x:c r="O15" s="32"/>
      <x:c r="P15" s="14" t="str">
        <x:v>complete</x:v>
      </x:c>
      <x:c r="Q15" s="26"/>
      <x:c r="R15" s="26"/>
      <x:c r="S15" s="26" t="str"/>
    </x:row>
    <x:row r="16" ht="28.5" customHeight="1">
      <x:c r="A16" s="17" t="n">
        <x:v>46253</x:v>
      </x:c>
      <x:c r="B16" s="12" t="str">
        <x:v>600408.SH</x:v>
      </x:c>
      <x:c r="C16" s="28" t="n">
        <x:v>0.07317073170731714</x:v>
      </x:c>
      <x:c r="D16" s="28" t="n">
        <x:v>0.1079136690647482</x:v>
      </x:c>
      <x:c r="E16" s="28" t="n">
        <x:v>0.06574394463667832</x:v>
      </x:c>
      <x:c r="F16" s="28" t="n">
        <x:v>0.19844357976653693</x:v>
      </x:c>
      <x:c r="G16" s="28" t="n">
        <x:v>0.08753520866791842</x:v>
      </x:c>
      <x:c r="H16" s="37" t="n">
        <x:v>3.7787980322269683</x:v>
      </x:c>
      <x:c r="I16" s="43" t="n">
        <x:v>0.8433029932541954</x:v>
      </x:c>
      <x:c r="J16" s="28" t="n">
        <x:v>0</x:v>
      </x:c>
      <x:c r="K16" s="28" t="n">
        <x:v>0.5853658536585368</x:v>
      </x:c>
      <x:c r="L16" s="12"/>
      <x:c r="M16" s="12"/>
      <x:c r="N16" s="28"/>
      <x:c r="O16" s="31"/>
      <x:c r="P16" s="12" t="str">
        <x:v>complete</x:v>
      </x:c>
      <x:c r="Q16" s="25"/>
      <x:c r="R16" s="25"/>
      <x:c r="S16" s="25" t="str"/>
    </x:row>
    <x:row r="17" ht="28.5" customHeight="1">
      <x:c r="A17" s="18" t="n">
        <x:v>46253</x:v>
      </x:c>
      <x:c r="B17" s="14" t="str">
        <x:v>601009.SH</x:v>
      </x:c>
      <x:c r="C17" s="29" t="n">
        <x:v>0.02528334786399289</x:v>
      </x:c>
      <x:c r="D17" s="29" t="n">
        <x:v>0.051878354203935606</x:v>
      </x:c>
      <x:c r="E17" s="29" t="n">
        <x:v>0.047195013357079096</x:v>
      </x:c>
      <x:c r="F17" s="29" t="n">
        <x:v>0.052820053715308735</x:v>
      </x:c>
      <x:c r="G17" s="29" t="n">
        <x:v>0.0689862773883192</x:v>
      </x:c>
      <x:c r="H17" s="38" t="n">
        <x:v>1.9243804256775108</x:v>
      </x:c>
      <x:c r="I17" s="44" t="n">
        <x:v>0.9192552638031989</x:v>
      </x:c>
      <x:c r="J17" s="29" t="n">
        <x:v>0</x:v>
      </x:c>
      <x:c r="K17" s="29" t="n">
        <x:v>0.9894179894179896</x:v>
      </x:c>
      <x:c r="L17" s="14"/>
      <x:c r="M17" s="14"/>
      <x:c r="N17" s="29"/>
      <x:c r="O17" s="32"/>
      <x:c r="P17" s="14" t="str">
        <x:v>complete</x:v>
      </x:c>
      <x:c r="Q17" s="26"/>
      <x:c r="R17" s="26"/>
      <x:c r="S17" s="26" t="str"/>
    </x:row>
    <x:row r="18" ht="28.5" customHeight="1">
      <x:c r="A18" s="17" t="n">
        <x:v>46253</x:v>
      </x:c>
      <x:c r="B18" s="12" t="str">
        <x:v>601011.SH</x:v>
      </x:c>
      <x:c r="C18" s="28" t="n">
        <x:v>0.10144927536231907</x:v>
      </x:c>
      <x:c r="D18" s="28" t="n">
        <x:v>0.1428571428571428</x:v>
      </x:c>
      <x:c r="E18" s="28" t="n">
        <x:v>0.10948905109489049</x:v>
      </x:c>
      <x:c r="F18" s="28" t="n">
        <x:v>0.24590163934426235</x:v>
      </x:c>
      <x:c r="G18" s="28" t="n">
        <x:v>0.1312803151261306</x:v>
      </x:c>
      <x:c r="H18" s="37" t="n">
        <x:v>2.3539618990274214</x:v>
      </x:c>
      <x:c r="I18" s="43" t="n">
        <x:v>0.8741569086709244</x:v>
      </x:c>
      <x:c r="J18" s="28" t="n">
        <x:v>0.7302893958690485</x:v>
      </x:c>
      <x:c r="K18" s="28" t="n">
        <x:v>0.7222222222222223</x:v>
      </x:c>
      <x:c r="L18" s="12"/>
      <x:c r="M18" s="12"/>
      <x:c r="N18" s="28"/>
      <x:c r="O18" s="31"/>
      <x:c r="P18" s="12" t="str">
        <x:v>complete</x:v>
      </x:c>
      <x:c r="Q18" s="25"/>
      <x:c r="R18" s="25"/>
      <x:c r="S18" s="25" t="str"/>
    </x:row>
    <x:row r="19" ht="28.5" customHeight="1">
      <x:c r="A19" s="18" t="n">
        <x:v>46253</x:v>
      </x:c>
      <x:c r="B19" s="14" t="str">
        <x:v>601015.SH</x:v>
      </x:c>
      <x:c r="C19" s="29" t="n">
        <x:v>0.10089020771513346</x:v>
      </x:c>
      <x:c r="D19" s="29" t="n">
        <x:v>0.10089020771513346</x:v>
      </x:c>
      <x:c r="E19" s="29" t="n">
        <x:v>0.06609195402298851</x:v>
      </x:c>
      <x:c r="F19" s="29" t="n">
        <x:v>0.17034700315457396</x:v>
      </x:c>
      <x:c r="G19" s="29" t="n">
        <x:v>0.0878832180542286</x:v>
      </x:c>
      <x:c r="H19" s="38" t="n">
        <x:v>3.093996921915439</x:v>
      </x:c>
      <x:c r="I19" s="44" t="n">
        <x:v>0.834266389459749</x:v>
      </x:c>
      <x:c r="J19" s="29" t="n">
        <x:v>0.9713459739818043</x:v>
      </x:c>
      <x:c r="K19" s="29" t="n">
        <x:v>0.5999999999999999</x:v>
      </x:c>
      <x:c r="L19" s="14"/>
      <x:c r="M19" s="14"/>
      <x:c r="N19" s="29"/>
      <x:c r="O19" s="32"/>
      <x:c r="P19" s="14" t="str">
        <x:v>complete</x:v>
      </x:c>
      <x:c r="Q19" s="26"/>
      <x:c r="R19" s="26"/>
      <x:c r="S19" s="26" t="str"/>
    </x:row>
    <x:row r="20" ht="28.5" customHeight="1">
      <x:c r="A20" s="17" t="n">
        <x:v>46253</x:v>
      </x:c>
      <x:c r="B20" s="12" t="str">
        <x:v>601609.SH</x:v>
      </x:c>
      <x:c r="C20" s="28" t="n">
        <x:v>0.08368200836820083</x:v>
      </x:c>
      <x:c r="D20" s="28" t="n">
        <x:v>0.182648401826484</x:v>
      </x:c>
      <x:c r="E20" s="28" t="n">
        <x:v>0.2708537782139353</x:v>
      </x:c>
      <x:c r="F20" s="28" t="n">
        <x:v>0.34615384615384626</x:v>
      </x:c>
      <x:c r="G20" s="28" t="n">
        <x:v>0.2926450422451754</x:v>
      </x:c>
      <x:c r="H20" s="37" t="n">
        <x:v>5.3207601273832665</x:v>
      </x:c>
      <x:c r="I20" s="43" t="n">
        <x:v>0.9699452710371995</x:v>
      </x:c>
      <x:c r="J20" s="28" t="n">
        <x:v>0.3666821109860281</x:v>
      </x:c>
      <x:c r="K20" s="28" t="n">
        <x:v>0.8858352401805034</x:v>
      </x:c>
      <x:c r="L20" s="12"/>
      <x:c r="M20" s="12"/>
      <x:c r="N20" s="28"/>
      <x:c r="O20" s="31"/>
      <x:c r="P20" s="12" t="str">
        <x:v>complete</x:v>
      </x:c>
      <x:c r="Q20" s="25"/>
      <x:c r="R20" s="25"/>
      <x:c r="S20" s="25" t="str"/>
    </x:row>
    <x:row r="21" ht="28.5" customHeight="1">
      <x:c r="A21" s="18" t="n">
        <x:v>46254</x:v>
      </x:c>
      <x:c r="B21" s="14" t="str">
        <x:v>000703.SZ</x:v>
      </x:c>
      <x:c r="C21" s="29" t="n">
        <x:v>0.05345911949685567</x:v>
      </x:c>
      <x:c r="D21" s="29" t="n">
        <x:v>0.19217081850533813</x:v>
      </x:c>
      <x:c r="E21" s="29" t="n">
        <x:v>0.19429590017825338</x:v>
      </x:c>
      <x:c r="F21" s="29" t="n">
        <x:v>0.2705436156763592</x:v>
      </x:c>
      <x:c r="G21" s="29" t="n">
        <x:v>0.2095621187599096</x:v>
      </x:c>
      <x:c r="H21" s="38" t="n">
        <x:v>2.2584752060154947</x:v>
      </x:c>
      <x:c r="I21" s="44" t="n">
        <x:v>0.9905568853619358</x:v>
      </x:c>
      <x:c r="J21" s="29" t="n">
        <x:v>0</x:v>
      </x:c>
      <x:c r="K21" s="29" t="n">
        <x:v>1</x:v>
      </x:c>
      <x:c r="L21" s="14" t="str">
        <x:v>801963.SI</x:v>
      </x:c>
      <x:c r="M21" s="14" t="str">
        <x:v>炼化及贸易</x:v>
      </x:c>
      <x:c r="N21" s="29" t="n">
        <x:v>0.17058566381043894</x:v>
      </x:c>
      <x:c r="O21" s="32" t="n">
        <x:v>3.5957066189624336</x:v>
      </x:c>
      <x:c r="P21" s="14" t="str">
        <x:v>complete</x:v>
      </x:c>
      <x:c r="Q21" s="26" t="str">
        <x:v>confirmed_breakout,trend_continuation</x:v>
      </x:c>
      <x:c r="R21" s="26" t="str">
        <x:v>failed_breakout,price_volume_divergence,range_cross_noise,single_day_impulse,trend_exhaustion</x:v>
      </x:c>
      <x:c r="S21" s="26" t="str"/>
    </x:row>
    <x:row r="22" ht="28.5" customHeight="1">
      <x:c r="A22" s="17" t="n">
        <x:v>46254</x:v>
      </x:c>
      <x:c r="B22" s="12" t="str">
        <x:v>002852.SZ</x:v>
      </x:c>
      <x:c r="C22" s="28" t="n">
        <x:v>0.03410475030450666</x:v>
      </x:c>
      <x:c r="D22" s="28" t="n">
        <x:v>0.07741116751269028</x:v>
      </x:c>
      <x:c r="E22" s="28" t="n">
        <x:v>0.09125964010282783</x:v>
      </x:c>
      <x:c r="F22" s="28" t="n">
        <x:v>0.1582537517053204</x:v>
      </x:c>
      <x:c r="G22" s="28" t="n">
        <x:v>0.10652585868448405</x:v>
      </x:c>
      <x:c r="H22" s="37" t="n">
        <x:v>3.5372509692075935</x:v>
      </x:c>
      <x:c r="I22" s="43" t="n">
        <x:v>0.9896798250982554</x:v>
      </x:c>
      <x:c r="J22" s="28" t="n">
        <x:v>0</x:v>
      </x:c>
      <x:c r="K22" s="28" t="n">
        <x:v>1</x:v>
      </x:c>
      <x:c r="L22" s="12" t="str">
        <x:v>801012.SI</x:v>
      </x:c>
      <x:c r="M22" s="12" t="str">
        <x:v>农产品加工</x:v>
      </x:c>
      <x:c r="N22" s="28" t="n">
        <x:v>0.035592906454990546</x:v>
      </x:c>
      <x:c r="O22" s="31" t="n">
        <x:v>6.444022770398483</x:v>
      </x:c>
      <x:c r="P22" s="12" t="str">
        <x:v>complete</x:v>
      </x:c>
      <x:c r="Q22" s="25" t="str">
        <x:v>trend_continuation</x:v>
      </x:c>
      <x:c r="R22" s="25" t="str">
        <x:v>failed_breakout,price_volume_divergence,single_day_impulse,trend_exhaustion</x:v>
      </x:c>
      <x:c r="S22" s="25" t="str"/>
    </x:row>
    <x:row r="23" ht="28.5" customHeight="1">
      <x:c r="A23" s="18" t="n">
        <x:v>46254</x:v>
      </x:c>
      <x:c r="B23" s="14" t="str">
        <x:v>300153.SZ</x:v>
      </x:c>
      <x:c r="C23" s="29" t="n">
        <x:v>-0.03196758217019369</x:v>
      </x:c>
      <x:c r="D23" s="29" t="n">
        <x:v>-0.10640066500415624</x:v>
      </x:c>
      <x:c r="E23" s="29" t="n">
        <x:v>-0.04740806380150642</x:v>
      </x:c>
      <x:c r="F23" s="29" t="n">
        <x:v>0.06120434353405724</x:v>
      </x:c>
      <x:c r="G23" s="29" t="n">
        <x:v>-0.032141845219850196</x:v>
      </x:c>
      <x:c r="H23" s="38" t="n">
        <x:v>1.9895826962930347</x:v>
      </x:c>
      <x:c r="I23" s="44" t="n">
        <x:v>-0.16825215879522562</x:v>
      </x:c>
      <x:c r="J23" s="29" t="n">
        <x:v>0</x:v>
      </x:c>
      <x:c r="K23" s="29" t="n">
        <x:v>0.2540743432344254</x:v>
      </x:c>
      <x:c r="L23" s="14" t="str">
        <x:v>801733.SI</x:v>
      </x:c>
      <x:c r="M23" s="14" t="str">
        <x:v>其他电源设备Ⅱ</x:v>
      </x:c>
      <x:c r="N23" s="29" t="n">
        <x:v>-0.02396968811948076</x:v>
      </x:c>
      <x:c r="O23" s="32" t="n">
        <x:v>4.103053435114505</x:v>
      </x:c>
      <x:c r="P23" s="14" t="str">
        <x:v>complete</x:v>
      </x:c>
      <x:c r="Q23" s="26" t="str"/>
      <x:c r="R23" s="26" t="str"/>
      <x:c r="S23" s="26" t="str"/>
    </x:row>
    <x:row r="24" ht="28.5" customHeight="1">
      <x:c r="A24" s="17" t="n">
        <x:v>46254</x:v>
      </x:c>
      <x:c r="B24" s="12" t="str">
        <x:v>300865.SZ</x:v>
      </x:c>
      <x:c r="C24" s="28" t="n">
        <x:v>0.03604240282685511</x:v>
      </x:c>
      <x:c r="D24" s="28" t="n">
        <x:v>0.1307365985345159</x:v>
      </x:c>
      <x:c r="E24" s="28" t="n">
        <x:v>0.2242171189979123</x:v>
      </x:c>
      <x:c r="F24" s="28" t="n">
        <x:v>0.42537676227515786</x:v>
      </x:c>
      <x:c r="G24" s="28" t="n">
        <x:v>0.23948333757956852</x:v>
      </x:c>
      <x:c r="H24" s="37" t="n">
        <x:v>4.834251696183515</x:v>
      </x:c>
      <x:c r="I24" s="43" t="n">
        <x:v>1</x:v>
      </x:c>
      <x:c r="J24" s="28" t="n">
        <x:v>0</x:v>
      </x:c>
      <x:c r="K24" s="28" t="n">
        <x:v>1</x:v>
      </x:c>
      <x:c r="L24" s="12" t="str">
        <x:v>801074.SI</x:v>
      </x:c>
      <x:c r="M24" s="12" t="str">
        <x:v>专用设备</x:v>
      </x:c>
      <x:c r="N24" s="28" t="n">
        <x:v>0.2331969985695962</x:v>
      </x:c>
      <x:c r="O24" s="31" t="n">
        <x:v>4.969491525423731</x:v>
      </x:c>
      <x:c r="P24" s="12" t="str">
        <x:v>complete</x:v>
      </x:c>
      <x:c r="Q24" s="25" t="str">
        <x:v>trend_continuation</x:v>
      </x:c>
      <x:c r="R24" s="25" t="str">
        <x:v>failed_breakout,price_volume_divergence,range_cross_noise,single_day_impulse,trend_exhaustion</x:v>
      </x:c>
      <x:c r="S24" s="25" t="str"/>
    </x:row>
    <x:row r="25" ht="28.5" customHeight="1">
      <x:c r="A25" s="18" t="n">
        <x:v>46254</x:v>
      </x:c>
      <x:c r="B25" s="14" t="str">
        <x:v>300936.SZ</x:v>
      </x:c>
      <x:c r="C25" s="29" t="n">
        <x:v>0.10023717388590692</x:v>
      </x:c>
      <x:c r="D25" s="29" t="n">
        <x:v>0.016023054755043287</x:v>
      </x:c>
      <x:c r="E25" s="29" t="n">
        <x:v>0.13875968992248056</x:v>
      </x:c>
      <x:c r="F25" s="29" t="n">
        <x:v>0.378264268960125</x:v>
      </x:c>
      <x:c r="G25" s="29" t="n">
        <x:v>0.15402590850413678</x:v>
      </x:c>
      <x:c r="H25" s="38" t="n">
        <x:v>1.8800667503272688</x:v>
      </x:c>
      <x:c r="I25" s="44" t="n">
        <x:v>0.5680673873646006</x:v>
      </x:c>
      <x:c r="J25" s="29" t="n">
        <x:v>0</x:v>
      </x:c>
      <x:c r="K25" s="29" t="n">
        <x:v>0.4815515610217597</x:v>
      </x:c>
      <x:c r="L25" s="14" t="str">
        <x:v>801083.SI</x:v>
      </x:c>
      <x:c r="M25" s="14" t="str">
        <x:v>元件</x:v>
      </x:c>
      <x:c r="N25" s="29" t="n">
        <x:v>0.1467832829643339</x:v>
      </x:c>
      <x:c r="O25" s="32" t="n">
        <x:v>2.739606807055716</x:v>
      </x:c>
      <x:c r="P25" s="14" t="str">
        <x:v>complete</x:v>
      </x:c>
      <x:c r="Q25" s="26" t="str">
        <x:v>trend_continuation</x:v>
      </x:c>
      <x:c r="R25" s="26" t="str">
        <x:v>single_day_impulse</x:v>
      </x:c>
      <x:c r="S25" s="26" t="str"/>
    </x:row>
    <x:row r="26" ht="28.5" customHeight="1">
      <x:c r="A26" s="17" t="n">
        <x:v>46254</x:v>
      </x:c>
      <x:c r="B26" s="12" t="str">
        <x:v>600111.SH</x:v>
      </x:c>
      <x:c r="C26" s="28" t="n">
        <x:v>-0.03140978816654483</x:v>
      </x:c>
      <x:c r="D26" s="28" t="n">
        <x:v>-0.0701262272089761</x:v>
      </x:c>
      <x:c r="E26" s="28" t="n">
        <x:v>-0.030229156509020028</x:v>
      </x:c>
      <x:c r="F26" s="28" t="n">
        <x:v>-0.01216786689843552</x:v>
      </x:c>
      <x:c r="G26" s="28" t="n">
        <x:v>-0.014962937927363806</x:v>
      </x:c>
      <x:c r="H26" s="37" t="n">
        <x:v>0.9231429564020784</x:v>
      </x:c>
      <x:c r="I26" s="43" t="n">
        <x:v>0.06624416327533879</x:v>
      </x:c>
      <x:c r="J26" s="28" t="n">
        <x:v>0</x:v>
      </x:c>
      <x:c r="K26" s="28" t="n">
        <x:v>0.13952095808383227</x:v>
      </x:c>
      <x:c r="L26" s="12" t="str">
        <x:v>801054.SI</x:v>
      </x:c>
      <x:c r="M26" s="12" t="str">
        <x:v>小金属</x:v>
      </x:c>
      <x:c r="N26" s="28" t="n">
        <x:v>-0.012357900672658323</x:v>
      </x:c>
      <x:c r="O26" s="31" t="n">
        <x:v>5.717570966582822</x:v>
      </x:c>
      <x:c r="P26" s="12" t="str">
        <x:v>complete</x:v>
      </x:c>
      <x:c r="Q26" s="25" t="str"/>
      <x:c r="R26" s="25" t="str"/>
      <x:c r="S26" s="25" t="str"/>
    </x:row>
    <x:row r="27" ht="28.5" customHeight="1">
      <x:c r="A27" s="18" t="n">
        <x:v>46254</x:v>
      </x:c>
      <x:c r="B27" s="14" t="str">
        <x:v>600547.SH</x:v>
      </x:c>
      <x:c r="C27" s="29" t="n">
        <x:v>0.08588957055214719</x:v>
      </x:c>
      <x:c r="D27" s="29" t="n">
        <x:v>0.17607973421926904</x:v>
      </x:c>
      <x:c r="E27" s="29" t="n">
        <x:v>0.19999999999999996</x:v>
      </x:c>
      <x:c r="F27" s="29" t="n">
        <x:v>0.29102844638949676</x:v>
      </x:c>
      <x:c r="G27" s="29" t="n">
        <x:v>0.21526621858165618</x:v>
      </x:c>
      <x:c r="H27" s="38" t="n">
        <x:v>2.4050228922471146</x:v>
      </x:c>
      <x:c r="I27" s="44" t="n">
        <x:v>0.9817020153680303</x:v>
      </x:c>
      <x:c r="J27" s="29" t="n">
        <x:v>0</x:v>
      </x:c>
      <x:c r="K27" s="29" t="n">
        <x:v>1</x:v>
      </x:c>
      <x:c r="L27" s="14" t="str">
        <x:v>801053.SI</x:v>
      </x:c>
      <x:c r="M27" s="14" t="str">
        <x:v>贵金属</x:v>
      </x:c>
      <x:c r="N27" s="29"/>
      <x:c r="O27" s="32" t="n">
        <x:v>4.553054662379422</x:v>
      </x:c>
      <x:c r="P27" s="14" t="str">
        <x:v>complete</x:v>
      </x:c>
      <x:c r="Q27" s="26" t="str">
        <x:v>confirmed_breakout,trend_continuation</x:v>
      </x:c>
      <x:c r="R27" s="26" t="str">
        <x:v>failed_breakout,price_volume_divergence,range_cross_noise,single_day_impulse,trend_exhaustion</x:v>
      </x:c>
      <x:c r="S27" s="26" t="str"/>
    </x:row>
    <x:row r="28" ht="28.5" customHeight="1">
      <x:c r="A28" s="17" t="n">
        <x:v>46254</x:v>
      </x:c>
      <x:c r="B28" s="12" t="str">
        <x:v>600601.SH</x:v>
      </x:c>
      <x:c r="C28" s="28" t="n">
        <x:v>0.001626016260162677</x:v>
      </x:c>
      <x:c r="D28" s="28" t="n">
        <x:v>-0.05157813702848335</x:v>
      </x:c>
      <x:c r="E28" s="28" t="n">
        <x:v>-0.020667726550079535</x:v>
      </x:c>
      <x:c r="F28" s="28" t="n">
        <x:v>0.1699905033238367</x:v>
      </x:c>
      <x:c r="G28" s="28" t="n">
        <x:v>-0.005401507968423314</x:v>
      </x:c>
      <x:c r="H28" s="37" t="n">
        <x:v>0.6433735879800716</x:v>
      </x:c>
      <x:c r="I28" s="43" t="n">
        <x:v>-0.25569553543393847</x:v>
      </x:c>
      <x:c r="J28" s="28" t="n">
        <x:v>0</x:v>
      </x:c>
      <x:c r="K28" s="28" t="n">
        <x:v>0.5652173913043479</x:v>
      </x:c>
      <x:c r="L28" s="12" t="str">
        <x:v>801083.SI</x:v>
      </x:c>
      <x:c r="M28" s="12" t="str">
        <x:v>元件</x:v>
      </x:c>
      <x:c r="N28" s="28" t="n">
        <x:v>-0.01264413350822619</x:v>
      </x:c>
      <x:c r="O28" s="31" t="n">
        <x:v>3.338753387533876</x:v>
      </x:c>
      <x:c r="P28" s="12" t="str">
        <x:v>complete</x:v>
      </x:c>
      <x:c r="Q28" s="25" t="str"/>
      <x:c r="R28" s="25" t="str">
        <x:v>healthy_pullback,trend_continuation</x:v>
      </x:c>
      <x:c r="S28" s="25" t="str"/>
    </x:row>
    <x:row r="29" ht="28.5" customHeight="1">
      <x:c r="A29" s="18" t="n">
        <x:v>46254</x:v>
      </x:c>
      <x:c r="B29" s="14" t="str">
        <x:v>600737.SH</x:v>
      </x:c>
      <x:c r="C29" s="29" t="n">
        <x:v>0.06162089752176825</x:v>
      </x:c>
      <x:c r="D29" s="29" t="n">
        <x:v>0.15609044493070745</x:v>
      </x:c>
      <x:c r="E29" s="29" t="n">
        <x:v>0.2509865824782953</x:v>
      </x:c>
      <x:c r="F29" s="29" t="n">
        <x:v>0.2981162614062989</x:v>
      </x:c>
      <x:c r="G29" s="29" t="n">
        <x:v>0.2662528010599515</x:v>
      </x:c>
      <x:c r="H29" s="38" t="n">
        <x:v>2.6273581578158587</x:v>
      </x:c>
      <x:c r="I29" s="44" t="n">
        <x:v>0.881828434227947</x:v>
      </x:c>
      <x:c r="J29" s="29" t="n">
        <x:v>0.4127518232790011</x:v>
      </x:c>
      <x:c r="K29" s="29" t="n">
        <x:v>1</x:v>
      </x:c>
      <x:c r="L29" s="14" t="str">
        <x:v>801012.SI</x:v>
      </x:c>
      <x:c r="M29" s="14" t="str">
        <x:v>农产品加工</x:v>
      </x:c>
      <x:c r="N29" s="29" t="n">
        <x:v>0.19531984883045803</x:v>
      </x:c>
      <x:c r="O29" s="32" t="n">
        <x:v>3.9087354025727694</x:v>
      </x:c>
      <x:c r="P29" s="14" t="str">
        <x:v>complete</x:v>
      </x:c>
      <x:c r="Q29" s="26" t="str">
        <x:v>confirmed_breakout,trend_continuation</x:v>
      </x:c>
      <x:c r="R29" s="26" t="str">
        <x:v>failed_breakout,price_volume_divergence,range_cross_noise,single_day_impulse,trend_exhaustion</x:v>
      </x:c>
      <x:c r="S29" s="26" t="str"/>
    </x:row>
    <x:row r="30" ht="28.5" customHeight="1">
      <x:c r="A30" s="17" t="n">
        <x:v>46254</x:v>
      </x:c>
      <x:c r="B30" s="12" t="str">
        <x:v>601096.SH</x:v>
      </x:c>
      <x:c r="C30" s="28" t="n">
        <x:v>-0.007211538461538547</x:v>
      </x:c>
      <x:c r="D30" s="28" t="n">
        <x:v>-0.04618937644341814</x:v>
      </x:c>
      <x:c r="E30" s="28" t="n">
        <x:v>-0.04398148148148162</x:v>
      </x:c>
      <x:c r="F30" s="28" t="n">
        <x:v>-0.05491990846681938</x:v>
      </x:c>
      <x:c r="G30" s="28" t="n">
        <x:v>-0.0287152628998254</x:v>
      </x:c>
      <x:c r="H30" s="37" t="n">
        <x:v>1.0965349405603784</x:v>
      </x:c>
      <x:c r="I30" s="43" t="n">
        <x:v>-0.5787572190317875</x:v>
      </x:c>
      <x:c r="J30" s="28" t="n">
        <x:v>0</x:v>
      </x:c>
      <x:c r="K30" s="28" t="n">
        <x:v>0.09023484799498208</x:v>
      </x:c>
      <x:c r="L30" s="12" t="str">
        <x:v>801724.SI</x:v>
      </x:c>
      <x:c r="M30" s="12" t="str">
        <x:v>专业工程</x:v>
      </x:c>
      <x:c r="N30" s="28" t="n">
        <x:v>-0.040166285931329725</x:v>
      </x:c>
      <x:c r="O30" s="31" t="n">
        <x:v>6.233962264150939</x:v>
      </x:c>
      <x:c r="P30" s="12" t="str">
        <x:v>complete</x:v>
      </x:c>
      <x:c r="Q30" s="25" t="str"/>
      <x:c r="R30" s="25" t="str"/>
      <x:c r="S30" s="25" t="str"/>
    </x:row>
    <x:row r="31" ht="28.5" customHeight="1">
      <x:c r="A31" s="18" t="n">
        <x:v>46254</x:v>
      </x:c>
      <x:c r="B31" s="14" t="str">
        <x:v>601700.SH</x:v>
      </x:c>
      <x:c r="C31" s="29" t="n">
        <x:v>0.0997067448680351</x:v>
      </x:c>
      <x:c r="D31" s="29" t="n">
        <x:v>0.0387811634349029</x:v>
      </x:c>
      <x:c r="E31" s="29" t="n">
        <x:v>0.05633802816901401</x:v>
      </x:c>
      <x:c r="F31" s="29" t="n">
        <x:v>0.5151515151515149</x:v>
      </x:c>
      <x:c r="G31" s="29" t="n">
        <x:v>0.07160424675067023</x:v>
      </x:c>
      <x:c r="H31" s="38" t="n">
        <x:v>0.7148412919131948</x:v>
      </x:c>
      <x:c r="I31" s="44" t="n">
        <x:v>0.07738055828306188</x:v>
      </x:c>
      <x:c r="J31" s="29" t="n">
        <x:v>0.9414171250934497</x:v>
      </x:c>
      <x:c r="K31" s="29" t="n">
        <x:v>0.9728915662650601</x:v>
      </x:c>
      <x:c r="L31" s="14" t="str">
        <x:v>801738.SI</x:v>
      </x:c>
      <x:c r="M31" s="14" t="str">
        <x:v>电网设备</x:v>
      </x:c>
      <x:c r="N31" s="29" t="n">
        <x:v>0.08829446862583479</x:v>
      </x:c>
      <x:c r="O31" s="32" t="n">
        <x:v>2.8355387523629485</x:v>
      </x:c>
      <x:c r="P31" s="14" t="str">
        <x:v>complete</x:v>
      </x:c>
      <x:c r="Q31" s="26" t="str"/>
      <x:c r="R31" s="26" t="str"/>
      <x:c r="S31" s="26" t="str"/>
    </x:row>
    <x:row r="32" ht="28.5" customHeight="1">
      <x:c r="A32" s="17" t="n">
        <x:v>46254</x:v>
      </x:c>
      <x:c r="B32" s="12" t="str">
        <x:v>603565.SH</x:v>
      </x:c>
      <x:c r="C32" s="28" t="n">
        <x:v>0.05052264808362361</x:v>
      </x:c>
      <x:c r="D32" s="28" t="n">
        <x:v>0.13027179006560452</x:v>
      </x:c>
      <x:c r="E32" s="28" t="n">
        <x:v>0.11152073732718892</x:v>
      </x:c>
      <x:c r="F32" s="28" t="n">
        <x:v>0.1585014409221901</x:v>
      </x:c>
      <x:c r="G32" s="28" t="n">
        <x:v>0.12678695590884514</x:v>
      </x:c>
      <x:c r="H32" s="37" t="n">
        <x:v>2.6853492401611976</x:v>
      </x:c>
      <x:c r="I32" s="43" t="n">
        <x:v>0.8278461160799793</x:v>
      </x:c>
      <x:c r="J32" s="28" t="n">
        <x:v>0</x:v>
      </x:c>
      <x:c r="K32" s="28" t="n">
        <x:v>1</x:v>
      </x:c>
      <x:c r="L32" s="12" t="str">
        <x:v>801992.SI</x:v>
      </x:c>
      <x:c r="M32" s="12" t="str">
        <x:v>航运港口</x:v>
      </x:c>
      <x:c r="N32" s="28"/>
      <x:c r="O32" s="31" t="n">
        <x:v>6.4838709677419395</x:v>
      </x:c>
      <x:c r="P32" s="12" t="str">
        <x:v>complete</x:v>
      </x:c>
      <x:c r="Q32" s="25" t="str">
        <x:v>confirmed_breakout,trend_continuation</x:v>
      </x:c>
      <x:c r="R32" s="25" t="str">
        <x:v>failed_breakout,price_volume_divergence,range_cross_noise,single_day_impulse,trend_exhaustion</x:v>
      </x:c>
      <x:c r="S32" s="25" t="str"/>
    </x:row>
    <x:row r="33" ht="28.5" customHeight="1">
      <x:c r="A33" s="18" t="n">
        <x:v>46254</x:v>
      </x:c>
      <x:c r="B33" s="14" t="str">
        <x:v>603969.SH</x:v>
      </x:c>
      <x:c r="C33" s="29" t="n">
        <x:v>0.018309859154929553</x:v>
      </x:c>
      <x:c r="D33" s="29" t="n">
        <x:v>-0.0027586206896551557</x:v>
      </x:c>
      <x:c r="E33" s="29" t="n">
        <x:v>0.028449502133712556</x:v>
      </x:c>
      <x:c r="F33" s="29" t="n">
        <x:v>-0.021650879566982417</x:v>
      </x:c>
      <x:c r="G33" s="29" t="n">
        <x:v>0.04371572071536878</x:v>
      </x:c>
      <x:c r="H33" s="38" t="n">
        <x:v>1.886804646316501</x:v>
      </x:c>
      <x:c r="I33" s="44" t="n">
        <x:v>0.4762003757866342</x:v>
      </x:c>
      <x:c r="J33" s="29" t="n">
        <x:v>0</x:v>
      </x:c>
      <x:c r="K33" s="29" t="n">
        <x:v>0.30890265146604534</x:v>
      </x:c>
      <x:c r="L33" s="14" t="str">
        <x:v>801072.SI</x:v>
      </x:c>
      <x:c r="M33" s="14" t="str">
        <x:v>通用设备</x:v>
      </x:c>
      <x:c r="N33" s="29" t="n">
        <x:v>0.04309460645724325</x:v>
      </x:c>
      <x:c r="O33" s="32" t="n">
        <x:v>5.091549295774649</x:v>
      </x:c>
      <x:c r="P33" s="14" t="str">
        <x:v>complete</x:v>
      </x:c>
      <x:c r="Q33" s="26" t="str">
        <x:v>initial_activation</x:v>
      </x:c>
      <x:c r="R33" s="26" t="str">
        <x:v>price_volume_divergence</x:v>
      </x:c>
      <x:c r="S33" s="26" t="str"/>
    </x:row>
    <x:row r="34" ht="28.5" customHeight="1">
      <x:c r="A34" s="17" t="n">
        <x:v>46254</x:v>
      </x:c>
      <x:c r="B34" s="12" t="str">
        <x:v>603993.SH</x:v>
      </x:c>
      <x:c r="C34" s="28" t="n">
        <x:v>0.014999999999999902</x:v>
      </x:c>
      <x:c r="D34" s="28" t="n">
        <x:v>-0.044955567171981126</x:v>
      </x:c>
      <x:c r="E34" s="28" t="n">
        <x:v>-0.0076045627376426506</x:v>
      </x:c>
      <x:c r="F34" s="28" t="n">
        <x:v>-0.0878681977034449</x:v>
      </x:c>
      <x:c r="G34" s="28" t="n">
        <x:v>0.007661655844013571</x:v>
      </x:c>
      <x:c r="H34" s="37" t="n">
        <x:v>0.8824383669256824</x:v>
      </x:c>
      <x:c r="I34" s="43" t="n">
        <x:v>-0.041266992178573124</x:v>
      </x:c>
      <x:c r="J34" s="28" t="n">
        <x:v>0</x:v>
      </x:c>
      <x:c r="K34" s="28" t="n">
        <x:v>0.3045267489711932</x:v>
      </x:c>
      <x:c r="L34" s="12" t="str">
        <x:v>801055.SI</x:v>
      </x:c>
      <x:c r="M34" s="12" t="str">
        <x:v>工业金属</x:v>
      </x:c>
      <x:c r="N34" s="28" t="n">
        <x:v>-0.014556910625736951</x:v>
      </x:c>
      <x:c r="O34" s="31" t="n">
        <x:v>4.25378346915018</x:v>
      </x:c>
      <x:c r="P34" s="12" t="str">
        <x:v>complete</x:v>
      </x:c>
      <x:c r="Q34" s="25" t="str"/>
      <x:c r="R34" s="25" t="str"/>
      <x:c r="S34" s="25" t="str"/>
    </x:row>
    <x:row r="35" ht="28.5" customHeight="1">
      <x:c r="A35" s="18" t="n">
        <x:v>46255</x:v>
      </x:c>
      <x:c r="B35" s="14" t="str">
        <x:v>001301.SZ</x:v>
      </x:c>
      <x:c r="C35" s="29" t="n">
        <x:v>-0.015269554378311012</x:v>
      </x:c>
      <x:c r="D35" s="29" t="n">
        <x:v>0.11542534415813632</x:v>
      </x:c>
      <x:c r="E35" s="29" t="n">
        <x:v>0.1675595787917974</x:v>
      </x:c>
      <x:c r="F35" s="29" t="n">
        <x:v>0.13464991023339312</x:v>
      </x:c>
      <x:c r="G35" s="29" t="n">
        <x:v>0.17762970230887276</x:v>
      </x:c>
      <x:c r="H35" s="38" t="n">
        <x:v>1.3224001533693703</x:v>
      </x:c>
      <x:c r="I35" s="44" t="n">
        <x:v>0.9029214013517329</x:v>
      </x:c>
      <x:c r="J35" s="29" t="n">
        <x:v>0.5683132940082817</x:v>
      </x:c>
      <x:c r="K35" s="29" t="n">
        <x:v>0.7102751792829436</x:v>
      </x:c>
      <x:c r="L35" s="14" t="str">
        <x:v>801737.SI</x:v>
      </x:c>
      <x:c r="M35" s="14" t="str">
        <x:v>电池</x:v>
      </x:c>
      <x:c r="N35" s="29" t="n">
        <x:v>0.18836307938919947</x:v>
      </x:c>
      <x:c r="O35" s="32" t="n">
        <x:v>4.759036144578311</x:v>
      </x:c>
      <x:c r="P35" s="14" t="str">
        <x:v>complete</x:v>
      </x:c>
      <x:c r="Q35" s="26" t="str">
        <x:v>trend_continuation</x:v>
      </x:c>
      <x:c r="R35" s="26" t="str">
        <x:v>failed_breakout,price_volume_divergence,single_day_impulse,trend_exhaustion</x:v>
      </x:c>
      <x:c r="S35" s="26" t="str"/>
    </x:row>
    <x:row r="36" ht="28.5" customHeight="1">
      <x:c r="A36" s="17" t="n">
        <x:v>46255</x:v>
      </x:c>
      <x:c r="B36" s="12" t="str">
        <x:v>301419.SZ</x:v>
      </x:c>
      <x:c r="C36" s="28" t="n">
        <x:v>0.00472636815920402</x:v>
      </x:c>
      <x:c r="D36" s="28" t="n">
        <x:v>0.03062005613676977</x:v>
      </x:c>
      <x:c r="E36" s="28" t="n">
        <x:v>0.07363104731525794</x:v>
      </x:c>
      <x:c r="F36" s="28" t="n">
        <x:v>0.4539236861051117</x:v>
      </x:c>
      <x:c r="G36" s="28" t="n">
        <x:v>0.0837011708323333</x:v>
      </x:c>
      <x:c r="H36" s="37" t="n">
        <x:v>1.6446759502989243</x:v>
      </x:c>
      <x:c r="I36" s="43" t="n">
        <x:v>0.34745873946240896</x:v>
      </x:c>
      <x:c r="J36" s="28" t="n">
        <x:v>0</x:v>
      </x:c>
      <x:c r="K36" s="28" t="n">
        <x:v>0.5707167497125336</x:v>
      </x:c>
      <x:c r="L36" s="12" t="str">
        <x:v>801102.SI</x:v>
      </x:c>
      <x:c r="M36" s="12" t="str">
        <x:v>通信设备</x:v>
      </x:c>
      <x:c r="N36" s="28" t="n">
        <x:v>0.08295845417796642</x:v>
      </x:c>
      <x:c r="O36" s="31" t="n">
        <x:v>3.189103829451242</x:v>
      </x:c>
      <x:c r="P36" s="12" t="str">
        <x:v>complete</x:v>
      </x:c>
      <x:c r="Q36" s="25" t="str"/>
      <x:c r="R36" s="25" t="str">
        <x:v>trend_continuation</x:v>
      </x:c>
      <x:c r="S36" s="25" t="str"/>
    </x:row>
    <x:row r="37" ht="28.5" customHeight="1">
      <x:c r="A37" s="18" t="n">
        <x:v>46255</x:v>
      </x:c>
      <x:c r="B37" s="14" t="str">
        <x:v>600583.SH</x:v>
      </x:c>
      <x:c r="C37" s="29" t="n">
        <x:v>0.003278688524590123</x:v>
      </x:c>
      <x:c r="D37" s="29" t="n">
        <x:v>0.01661129568106312</x:v>
      </x:c>
      <x:c r="E37" s="29" t="n">
        <x:v>0.1229357798165136</x:v>
      </x:c>
      <x:c r="F37" s="29" t="n">
        <x:v>0.1107078039927405</x:v>
      </x:c>
      <x:c r="G37" s="29" t="n">
        <x:v>0.13300590333358897</x:v>
      </x:c>
      <x:c r="H37" s="38" t="n">
        <x:v>1.111278341758927</x:v>
      </x:c>
      <x:c r="I37" s="44" t="n">
        <x:v>0.930339504800869</x:v>
      </x:c>
      <x:c r="J37" s="29" t="n">
        <x:v>0</x:v>
      </x:c>
      <x:c r="K37" s="29" t="n">
        <x:v>0.984495712711903</x:v>
      </x:c>
      <x:c r="L37" s="14" t="str">
        <x:v>801962.SI</x:v>
      </x:c>
      <x:c r="M37" s="14" t="str">
        <x:v>油服工程</x:v>
      </x:c>
      <x:c r="N37" s="29" t="n">
        <x:v>0.09254500447012268</x:v>
      </x:c>
      <x:c r="O37" s="32" t="n">
        <x:v>6.7999999999999945</x:v>
      </x:c>
      <x:c r="P37" s="14" t="str">
        <x:v>complete</x:v>
      </x:c>
      <x:c r="Q37" s="26" t="str">
        <x:v>trend_continuation</x:v>
      </x:c>
      <x:c r="R37" s="26" t="str">
        <x:v>price_volume_divergence,single_day_impulse,trend_exhaustion</x:v>
      </x:c>
      <x:c r="S37" s="26" t="str"/>
    </x:row>
    <x:row r="38" ht="28.5" customHeight="1">
      <x:c r="A38" s="17" t="n">
        <x:v>46255</x:v>
      </x:c>
      <x:c r="B38" s="12" t="str">
        <x:v>600980.SH</x:v>
      </x:c>
      <x:c r="C38" s="28" t="n">
        <x:v>0.021428571428571352</x:v>
      </x:c>
      <x:c r="D38" s="28" t="n">
        <x:v>0</x:v>
      </x:c>
      <x:c r="E38" s="28" t="n">
        <x:v>0.05257623554153512</x:v>
      </x:c>
      <x:c r="F38" s="28" t="n">
        <x:v>0.1888361045130642</x:v>
      </x:c>
      <x:c r="G38" s="28" t="n">
        <x:v>0.06264635905861049</x:v>
      </x:c>
      <x:c r="H38" s="37" t="n">
        <x:v>1.2282907395609233</x:v>
      </x:c>
      <x:c r="I38" s="43" t="n">
        <x:v>0.5775233591535375</x:v>
      </x:c>
      <x:c r="J38" s="28" t="n">
        <x:v>0</x:v>
      </x:c>
      <x:c r="K38" s="28" t="n">
        <x:v>0.7008403361344536</x:v>
      </x:c>
      <x:c r="L38" s="12" t="str">
        <x:v>801074.SI</x:v>
      </x:c>
      <x:c r="M38" s="12" t="str">
        <x:v>专用设备</x:v>
      </x:c>
      <x:c r="N38" s="28" t="n">
        <x:v>0.06192828561960156</x:v>
      </x:c>
      <x:c r="O38" s="31" t="n">
        <x:v>7.299908842297165</x:v>
      </x:c>
      <x:c r="P38" s="12" t="str">
        <x:v>complete</x:v>
      </x:c>
      <x:c r="Q38" s="25" t="str">
        <x:v>trend_continuation</x:v>
      </x:c>
      <x:c r="R38" s="25" t="str">
        <x:v>range_cross_noise,single_day_impulse</x:v>
      </x:c>
      <x:c r="S38" s="25" t="str"/>
    </x:row>
    <x:row r="39" ht="28.5" customHeight="1">
      <x:c r="A39" s="18" t="n">
        <x:v>46255</x:v>
      </x:c>
      <x:c r="B39" s="14" t="str">
        <x:v>605169.SH</x:v>
      </x:c>
      <x:c r="C39" s="29" t="n">
        <x:v>0.009115770282588809</x:v>
      </x:c>
      <x:c r="D39" s="29" t="n">
        <x:v>0.02121771217712176</x:v>
      </x:c>
      <x:c r="E39" s="29" t="n">
        <x:v>0.10921843687374744</x:v>
      </x:c>
      <x:c r="F39" s="29" t="n">
        <x:v>0.15432742440041713</x:v>
      </x:c>
      <x:c r="G39" s="29" t="n">
        <x:v>0.1192885603908228</x:v>
      </x:c>
      <x:c r="H39" s="38" t="n">
        <x:v>1.7480968552066423</x:v>
      </x:c>
      <x:c r="I39" s="44" t="n">
        <x:v>0.8680827120517521</x:v>
      </x:c>
      <x:c r="J39" s="29" t="n">
        <x:v>0</x:v>
      </x:c>
      <x:c r="K39" s="29" t="n">
        <x:v>0.7900036015591887</x:v>
      </x:c>
      <x:c r="L39" s="14" t="str">
        <x:v>801163.SI</x:v>
      </x:c>
      <x:c r="M39" s="14" t="str">
        <x:v>燃气Ⅱ</x:v>
      </x:c>
      <x:c r="N39" s="29" t="n">
        <x:v>0.09617714559752238</x:v>
      </x:c>
      <x:c r="O39" s="32" t="n">
        <x:v>6.352941176470593</x:v>
      </x:c>
      <x:c r="P39" s="14" t="str">
        <x:v>complete</x:v>
      </x:c>
      <x:c r="Q39" s="26" t="str">
        <x:v>trend_continuation</x:v>
      </x:c>
      <x:c r="R39" s="26" t="str">
        <x:v>range_cross_noise,single_day_impulse</x:v>
      </x:c>
      <x:c r="S39" s="26" t="str"/>
    </x:row>
    <x:row r="40" ht="28.5" customHeight="1">
      <x:c r="A40" s="17" t="n">
        <x:v>46258</x:v>
      </x:c>
      <x:c r="B40" s="12" t="str">
        <x:v>000690.SZ</x:v>
      </x:c>
      <x:c r="C40" s="28" t="n">
        <x:v>0.048218029350104885</x:v>
      </x:c>
      <x:c r="D40" s="28" t="n">
        <x:v>0.06157112526539299</x:v>
      </x:c>
      <x:c r="E40" s="28" t="n">
        <x:v>0.05708245243128962</x:v>
      </x:c>
      <x:c r="F40" s="28" t="n">
        <x:v>0.01419878296146071</x:v>
      </x:c>
      <x:c r="G40" s="28" t="n">
        <x:v>0.09462048607796747</x:v>
      </x:c>
      <x:c r="H40" s="37" t="n">
        <x:v>2.266830393882145</x:v>
      </x:c>
      <x:c r="I40" s="43" t="n">
        <x:v>0.9383187409902035</x:v>
      </x:c>
      <x:c r="J40" s="28" t="n">
        <x:v>0</x:v>
      </x:c>
      <x:c r="K40" s="28" t="n">
        <x:v>0.32919254658385116</x:v>
      </x:c>
      <x:c r="L40" s="12" t="str">
        <x:v>801161.SI</x:v>
      </x:c>
      <x:c r="M40" s="12" t="str">
        <x:v>电力</x:v>
      </x:c>
      <x:c r="N40" s="28" t="n">
        <x:v>0.08828307123610715</x:v>
      </x:c>
      <x:c r="O40" s="31" t="n">
        <x:v>6.96864111498258</x:v>
      </x:c>
      <x:c r="P40" s="12" t="str">
        <x:v>complete</x:v>
      </x:c>
      <x:c r="Q40" s="25" t="str">
        <x:v>initial_activation</x:v>
      </x:c>
      <x:c r="R40" s="25" t="str"/>
      <x:c r="S40" s="25" t="str"/>
    </x:row>
    <x:row r="41" ht="28.5" customHeight="1">
      <x:c r="A41" s="18" t="n">
        <x:v>46258</x:v>
      </x:c>
      <x:c r="B41" s="14" t="str">
        <x:v>002014.SZ</x:v>
      </x:c>
      <x:c r="C41" s="29" t="n">
        <x:v>0.009208103130755152</x:v>
      </x:c>
      <x:c r="D41" s="29" t="n">
        <x:v>0.02429906542056104</x:v>
      </x:c>
      <x:c r="E41" s="29" t="n">
        <x:v>0.023342670401493848</x:v>
      </x:c>
      <x:c r="F41" s="29" t="n">
        <x:v>0.0157553290083412</x:v>
      </x:c>
      <x:c r="G41" s="29" t="n">
        <x:v>0.0608807040481717</x:v>
      </x:c>
      <x:c r="H41" s="38" t="n">
        <x:v>1.013360282993079</x:v>
      </x:c>
      <x:c r="I41" s="44" t="n">
        <x:v>0.6708242958154336</x:v>
      </x:c>
      <x:c r="J41" s="29" t="n">
        <x:v>0</x:v>
      </x:c>
      <x:c r="K41" s="29" t="n">
        <x:v>0.6183206106870227</x:v>
      </x:c>
      <x:c r="L41" s="14" t="str">
        <x:v>801141.SI</x:v>
      </x:c>
      <x:c r="M41" s="14" t="str">
        <x:v>包装印刷</x:v>
      </x:c>
      <x:c r="N41" s="29" t="n">
        <x:v>0.0583982473761564</x:v>
      </x:c>
      <x:c r="O41" s="32" t="n">
        <x:v>9.829596412556056</x:v>
      </x:c>
      <x:c r="P41" s="14" t="str">
        <x:v>complete</x:v>
      </x:c>
      <x:c r="Q41" s="26" t="str">
        <x:v>initial_activation</x:v>
      </x:c>
      <x:c r="R41" s="26" t="str"/>
      <x:c r="S41" s="26" t="str"/>
    </x:row>
    <x:row r="42" ht="28.5" customHeight="1">
      <x:c r="A42" s="17" t="n">
        <x:v>46258</x:v>
      </x:c>
      <x:c r="B42" s="12" t="str">
        <x:v>601077.SH</x:v>
      </x:c>
      <x:c r="C42" s="28" t="n">
        <x:v>0.03377386196769461</x:v>
      </x:c>
      <x:c r="D42" s="28" t="n">
        <x:v>0.041420118343195256</x:v>
      </x:c>
      <x:c r="E42" s="28" t="n">
        <x:v>0.07645259938837912</x:v>
      </x:c>
      <x:c r="F42" s="28" t="n">
        <x:v>0.06990881458966558</x:v>
      </x:c>
      <x:c r="G42" s="28" t="n">
        <x:v>0.11399063303505697</x:v>
      </x:c>
      <x:c r="H42" s="37" t="n">
        <x:v>1.2590145194610582</x:v>
      </x:c>
      <x:c r="I42" s="43" t="n">
        <x:v>0.9769252455264215</x:v>
      </x:c>
      <x:c r="J42" s="28" t="n">
        <x:v>0</x:v>
      </x:c>
      <x:c r="K42" s="28" t="n">
        <x:v>1</x:v>
      </x:c>
      <x:c r="L42" s="12" t="str">
        <x:v>801785.SI</x:v>
      </x:c>
      <x:c r="M42" s="12" t="str">
        <x:v>农商行Ⅱ</x:v>
      </x:c>
      <x:c r="N42" s="28" t="n">
        <x:v>0.0445039315785712</x:v>
      </x:c>
      <x:c r="O42" s="31" t="n">
        <x:v>8.911392405063294</x:v>
      </x:c>
      <x:c r="P42" s="12" t="str">
        <x:v>complete</x:v>
      </x:c>
      <x:c r="Q42" s="25" t="str">
        <x:v>confirmed_breakout,trend_continuation</x:v>
      </x:c>
      <x:c r="R42" s="25" t="str">
        <x:v>failed_breakout,price_volume_divergence,single_day_impulse</x:v>
      </x:c>
      <x:c r="S42" s="25" t="str"/>
    </x:row>
    <x:row r="43" ht="28.5" customHeight="1">
      <x:c r="A43" s="18" t="n">
        <x:v>46258</x:v>
      </x:c>
      <x:c r="B43" s="14" t="str">
        <x:v>601998.SH</x:v>
      </x:c>
      <x:c r="C43" s="29" t="n">
        <x:v>0.020262216924910703</x:v>
      </x:c>
      <x:c r="D43" s="29" t="n">
        <x:v>0.0490196078431373</x:v>
      </x:c>
      <x:c r="E43" s="29" t="n">
        <x:v>0.1131339401820548</x:v>
      </x:c>
      <x:c r="F43" s="29" t="n">
        <x:v>0.1102464332036317</x:v>
      </x:c>
      <x:c r="G43" s="29" t="n">
        <x:v>0.15067197382873265</x:v>
      </x:c>
      <x:c r="H43" s="38" t="n">
        <x:v>1.7407321343098685</x:v>
      </x:c>
      <x:c r="I43" s="44" t="n">
        <x:v>1</x:v>
      </x:c>
      <x:c r="J43" s="29" t="n">
        <x:v>0</x:v>
      </x:c>
      <x:c r="K43" s="29" t="n">
        <x:v>1</x:v>
      </x:c>
      <x:c r="L43" s="14" t="str">
        <x:v>801783.SI</x:v>
      </x:c>
      <x:c r="M43" s="14" t="str">
        <x:v>股份制银行Ⅱ</x:v>
      </x:c>
      <x:c r="N43" s="29" t="n">
        <x:v>0.07478597450760294</x:v>
      </x:c>
      <x:c r="O43" s="32" t="n">
        <x:v>8.538653366583544</x:v>
      </x:c>
      <x:c r="P43" s="14" t="str">
        <x:v>complete</x:v>
      </x:c>
      <x:c r="Q43" s="26" t="str">
        <x:v>confirmed_breakout,trend_continuation</x:v>
      </x:c>
      <x:c r="R43" s="26" t="str">
        <x:v>failed_breakout,price_volume_divergence,range_cross_noise,single_day_impulse,trend_exhaustion</x:v>
      </x:c>
      <x:c r="S43" s="26" t="str"/>
    </x:row>
    <x:row r="44" ht="28.5" customHeight="1">
      <x:c r="A44" s="17" t="n">
        <x:v>46258</x:v>
      </x:c>
      <x:c r="B44" s="12" t="str">
        <x:v>603291.SH</x:v>
      </x:c>
      <x:c r="C44" s="28" t="n">
        <x:v>-0.03923647932131491</x:v>
      </x:c>
      <x:c r="D44" s="28" t="n">
        <x:v>0.004434589800443645</x:v>
      </x:c>
      <x:c r="E44" s="28" t="n">
        <x:v>0.0033222591362127574</x:v>
      </x:c>
      <x:c r="F44" s="28" t="n">
        <x:v>0.16153846153846163</x:v>
      </x:c>
      <x:c r="G44" s="28" t="n">
        <x:v>0.040860292782890606</x:v>
      </x:c>
      <x:c r="H44" s="37" t="n">
        <x:v>1.5214918014024257</x:v>
      </x:c>
      <x:c r="I44" s="43" t="n">
        <x:v>0.004612044240344833</x:v>
      </x:c>
      <x:c r="J44" s="28" t="n">
        <x:v>0</x:v>
      </x:c>
      <x:c r="K44" s="28" t="n">
        <x:v>0.48550724637681164</x:v>
      </x:c>
      <x:c r="L44" s="12" t="str">
        <x:v>801971.SI</x:v>
      </x:c>
      <x:c r="M44" s="12" t="str">
        <x:v>环境治理</x:v>
      </x:c>
      <x:c r="N44" s="28" t="n">
        <x:v>0.023103674733384757</x:v>
      </x:c>
      <x:c r="O44" s="31" t="n">
        <x:v>5.644859813084112</x:v>
      </x:c>
      <x:c r="P44" s="12" t="str">
        <x:v>complete</x:v>
      </x:c>
      <x:c r="Q44" s="25" t="str">
        <x:v>trend_continuation</x:v>
      </x:c>
      <x:c r="R44" s="25" t="str">
        <x:v>range_cross_noise</x:v>
      </x:c>
      <x:c r="S44" s="25" t="str"/>
    </x:row>
    <x:row r="45" ht="28.5" customHeight="1">
      <x:c r="A45" s="18" t="n">
        <x:v>46259</x:v>
      </x:c>
      <x:c r="B45" s="14" t="str">
        <x:v>000628.SZ</x:v>
      </x:c>
      <x:c r="C45" s="29" t="n">
        <x:v>0.0020938023450587373</x:v>
      </x:c>
      <x:c r="D45" s="29" t="n">
        <x:v>0.16080523890371112</x:v>
      </x:c>
      <x:c r="E45" s="29" t="n">
        <x:v>0.10301912883152808</x:v>
      </x:c>
      <x:c r="F45" s="29" t="n">
        <x:v>0.2991313789359391</x:v>
      </x:c>
      <x:c r="G45" s="29" t="n">
        <x:v>0.1397918037746395</x:v>
      </x:c>
      <x:c r="H45" s="38" t="n">
        <x:v>1.583363809113668</x:v>
      </x:c>
      <x:c r="I45" s="44" t="n">
        <x:v>0.5127594255543285</x:v>
      </x:c>
      <x:c r="J45" s="29" t="n">
        <x:v>0.5103554133880829</x:v>
      </x:c>
      <x:c r="K45" s="29" t="n">
        <x:v>0.582642204708238</x:v>
      </x:c>
      <x:c r="L45" s="14" t="str">
        <x:v>801721.SI</x:v>
      </x:c>
      <x:c r="M45" s="14" t="str">
        <x:v>房屋建设Ⅱ</x:v>
      </x:c>
      <x:c r="N45" s="29" t="n">
        <x:v>0.06192904988276764</x:v>
      </x:c>
      <x:c r="O45" s="32" t="n">
        <x:v>4.277988826815642</x:v>
      </x:c>
      <x:c r="P45" s="14" t="str">
        <x:v>complete</x:v>
      </x:c>
      <x:c r="Q45" s="26" t="str">
        <x:v>trend_continuation</x:v>
      </x:c>
      <x:c r="R45" s="26" t="str">
        <x:v>failed_breakout,price_volume_divergence,range_cross_noise,single_day_impulse,trend_exhaustion</x:v>
      </x:c>
      <x:c r="S45" s="26" t="str"/>
    </x:row>
    <x:row r="46" ht="28.5" customHeight="1">
      <x:c r="A46" s="17" t="n">
        <x:v>46259</x:v>
      </x:c>
      <x:c r="B46" s="12" t="str">
        <x:v>002274.SZ</x:v>
      </x:c>
      <x:c r="C46" s="28" t="n">
        <x:v>0.052032520325203224</x:v>
      </x:c>
      <x:c r="D46" s="28" t="n">
        <x:v>0.09290540540540548</x:v>
      </x:c>
      <x:c r="E46" s="28" t="n">
        <x:v>0.09475465313028764</x:v>
      </x:c>
      <x:c r="F46" s="28" t="n">
        <x:v>0.1828153564899453</x:v>
      </x:c>
      <x:c r="G46" s="28" t="n">
        <x:v>0.13152732807339906</x:v>
      </x:c>
      <x:c r="H46" s="37" t="n">
        <x:v>3.525473729039247</x:v>
      </x:c>
      <x:c r="I46" s="43" t="n">
        <x:v>0.8071764124029287</x:v>
      </x:c>
      <x:c r="J46" s="28" t="n">
        <x:v>0</x:v>
      </x:c>
      <x:c r="K46" s="28" t="n">
        <x:v>1</x:v>
      </x:c>
      <x:c r="L46" s="12" t="str">
        <x:v>801033.SI</x:v>
      </x:c>
      <x:c r="M46" s="12" t="str">
        <x:v>化学原料</x:v>
      </x:c>
      <x:c r="N46" s="28" t="n">
        <x:v>0.08496857671874922</x:v>
      </x:c>
      <x:c r="O46" s="31" t="n">
        <x:v>7.501449275362325</x:v>
      </x:c>
      <x:c r="P46" s="12" t="str">
        <x:v>complete</x:v>
      </x:c>
      <x:c r="Q46" s="25" t="str">
        <x:v>confirmed_breakout,trend_continuation</x:v>
      </x:c>
      <x:c r="R46" s="25" t="str">
        <x:v>failed_breakout,price_volume_divergence,range_cross_noise,single_day_impulse,trend_exhaustion</x:v>
      </x:c>
      <x:c r="S46" s="25" t="str"/>
    </x:row>
    <x:row r="47" ht="28.5" customHeight="1">
      <x:c r="A47" s="18" t="n">
        <x:v>46259</x:v>
      </x:c>
      <x:c r="B47" s="14" t="str">
        <x:v>002366.SZ</x:v>
      </x:c>
      <x:c r="C47" s="29" t="n">
        <x:v>0.014311270125223707</x:v>
      </x:c>
      <x:c r="D47" s="29" t="n">
        <x:v>0.007104795737122638</x:v>
      </x:c>
      <x:c r="E47" s="29" t="n">
        <x:v>-0.0373514431239389</x:v>
      </x:c>
      <x:c r="F47" s="29" t="n">
        <x:v>-0.013913043478260834</x:v>
      </x:c>
      <x:c r="G47" s="29" t="n">
        <x:v>-0.0005787681808274714</x:v>
      </x:c>
      <x:c r="H47" s="38" t="n">
        <x:v>0.227566314786738</x:v>
      </x:c>
      <x:c r="I47" s="44" t="n">
        <x:v>-0.6399664610235155</x:v>
      </x:c>
      <x:c r="J47" s="29" t="n">
        <x:v>0</x:v>
      </x:c>
      <x:c r="K47" s="29" t="n">
        <x:v>0.3920454545454543</x:v>
      </x:c>
      <x:c r="L47" s="14" t="str">
        <x:v>801733.SI</x:v>
      </x:c>
      <x:c r="M47" s="14" t="str">
        <x:v>其他电源设备Ⅱ</x:v>
      </x:c>
      <x:c r="N47" s="29" t="n">
        <x:v>0.009162935854143718</x:v>
      </x:c>
      <x:c r="O47" s="32" t="n">
        <x:v>4.287334593572779</x:v>
      </x:c>
      <x:c r="P47" s="14" t="str">
        <x:v>complete</x:v>
      </x:c>
      <x:c r="Q47" s="26" t="str"/>
      <x:c r="R47" s="26" t="str"/>
      <x:c r="S47" s="26" t="str"/>
    </x:row>
    <x:row r="48" ht="28.5" customHeight="1">
      <x:c r="A48" s="17" t="n">
        <x:v>46259</x:v>
      </x:c>
      <x:c r="B48" s="12" t="str">
        <x:v>002536.SZ</x:v>
      </x:c>
      <x:c r="C48" s="28" t="n">
        <x:v>0.05655737704918051</x:v>
      </x:c>
      <x:c r="D48" s="28" t="n">
        <x:v>0.20749414519906328</x:v>
      </x:c>
      <x:c r="E48" s="28" t="n">
        <x:v>0.12111328549684708</x:v>
      </x:c>
      <x:c r="F48" s="28" t="n">
        <x:v>0.1465421392039139</x:v>
      </x:c>
      <x:c r="G48" s="28" t="n">
        <x:v>0.1578859604399585</x:v>
      </x:c>
      <x:c r="H48" s="37" t="n">
        <x:v>1.868085939231346</x:v>
      </x:c>
      <x:c r="I48" s="43" t="n">
        <x:v>0.5632677470428973</x:v>
      </x:c>
      <x:c r="J48" s="28" t="n">
        <x:v>0.4607243619693179</x:v>
      </x:c>
      <x:c r="K48" s="28" t="n">
        <x:v>0.8217659137577005</x:v>
      </x:c>
      <x:c r="L48" s="12" t="str">
        <x:v>801093.SI</x:v>
      </x:c>
      <x:c r="M48" s="12" t="str">
        <x:v>汽车零部件</x:v>
      </x:c>
      <x:c r="N48" s="28" t="n">
        <x:v>0.15249902550285083</x:v>
      </x:c>
      <x:c r="O48" s="31" t="n">
        <x:v>2.8772321428571432</x:v>
      </x:c>
      <x:c r="P48" s="12" t="str">
        <x:v>complete</x:v>
      </x:c>
      <x:c r="Q48" s="25" t="str"/>
      <x:c r="R48" s="25" t="str">
        <x:v>failed_breakout,price_volume_divergence,trend_continuation,trend_exhaustion</x:v>
      </x:c>
      <x:c r="S48" s="25" t="str"/>
    </x:row>
    <x:row r="49" ht="28.5" customHeight="1">
      <x:c r="A49" s="18" t="n">
        <x:v>46259</x:v>
      </x:c>
      <x:c r="B49" s="14" t="str">
        <x:v>002638.SZ</x:v>
      </x:c>
      <x:c r="C49" s="29" t="n">
        <x:v>0.043062200956938135</x:v>
      </x:c>
      <x:c r="D49" s="29" t="n">
        <x:v>0.16266666666666674</x:v>
      </x:c>
      <x:c r="E49" s="29" t="n">
        <x:v>0.13246753246753262</x:v>
      </x:c>
      <x:c r="F49" s="29" t="n">
        <x:v>0.2711370262390673</x:v>
      </x:c>
      <x:c r="G49" s="29" t="n">
        <x:v>0.16924020741064405</x:v>
      </x:c>
      <x:c r="H49" s="38" t="n">
        <x:v>1.9468619131281975</x:v>
      </x:c>
      <x:c r="I49" s="44" t="n">
        <x:v>0.6292093669477172</x:v>
      </x:c>
      <x:c r="J49" s="29" t="n">
        <x:v>0.5426967022127267</x:v>
      </x:c>
      <x:c r="K49" s="29" t="n">
        <x:v>0.9166666666666673</x:v>
      </x:c>
      <x:c r="L49" s="14" t="str">
        <x:v>801115.SI</x:v>
      </x:c>
      <x:c r="M49" s="14" t="str">
        <x:v>照明设备Ⅱ</x:v>
      </x:c>
      <x:c r="N49" s="29" t="n">
        <x:v>0.13563875962615368</x:v>
      </x:c>
      <x:c r="O49" s="32" t="n">
        <x:v>4.4489795918367365</x:v>
      </x:c>
      <x:c r="P49" s="14" t="str">
        <x:v>complete</x:v>
      </x:c>
      <x:c r="Q49" s="26" t="str">
        <x:v>trend_continuation</x:v>
      </x:c>
      <x:c r="R49" s="26" t="str">
        <x:v>failed_breakout,price_volume_divergence,single_day_impulse,trend_exhaustion</x:v>
      </x:c>
      <x:c r="S49" s="26" t="str"/>
    </x:row>
    <x:row r="50" ht="28.5" customHeight="1">
      <x:c r="A50" s="17" t="n">
        <x:v>46259</x:v>
      </x:c>
      <x:c r="B50" s="12" t="str">
        <x:v>002645.SZ</x:v>
      </x:c>
      <x:c r="C50" s="28" t="n">
        <x:v>-0.009458749343142392</x:v>
      </x:c>
      <x:c r="D50" s="28" t="n">
        <x:v>-0.01822916666666652</x:v>
      </x:c>
      <x:c r="E50" s="28" t="n">
        <x:v>-0.09025096525096521</x:v>
      </x:c>
      <x:c r="F50" s="28" t="n">
        <x:v>0.10557184750733128</x:v>
      </x:c>
      <x:c r="G50" s="28" t="n">
        <x:v>-0.05347829030785378</x:v>
      </x:c>
      <x:c r="H50" s="37" t="n">
        <x:v>0.7379817473827279</x:v>
      </x:c>
      <x:c r="I50" s="43" t="n">
        <x:v>-0.8334185538155618</x:v>
      </x:c>
      <x:c r="J50" s="28" t="n">
        <x:v>0</x:v>
      </x:c>
      <x:c r="K50" s="28" t="n">
        <x:v>0.15191740412979357</x:v>
      </x:c>
      <x:c r="L50" s="12" t="str">
        <x:v>801972.SI</x:v>
      </x:c>
      <x:c r="M50" s="12" t="str">
        <x:v>环保设备Ⅱ</x:v>
      </x:c>
      <x:c r="N50" s="28" t="n">
        <x:v>-0.06617486438555559</x:v>
      </x:c>
      <x:c r="O50" s="31" t="n">
        <x:v>3.2528041415012945</x:v>
      </x:c>
      <x:c r="P50" s="12" t="str">
        <x:v>complete</x:v>
      </x:c>
      <x:c r="Q50" s="25" t="str"/>
      <x:c r="R50" s="25" t="str"/>
      <x:c r="S50" s="25" t="str"/>
    </x:row>
    <x:row r="51" ht="28.5" customHeight="1">
      <x:c r="A51" s="18" t="n">
        <x:v>46259</x:v>
      </x:c>
      <x:c r="B51" s="14" t="str">
        <x:v>300265.SZ</x:v>
      </x:c>
      <x:c r="C51" s="29" t="n">
        <x:v>0.02759134973900057</x:v>
      </x:c>
      <x:c r="D51" s="29" t="n">
        <x:v>0.022255192878338104</x:v>
      </x:c>
      <x:c r="E51" s="29" t="n">
        <x:v>-0.06828938471940504</x:v>
      </x:c>
      <x:c r="F51" s="29" t="n">
        <x:v>0.043149129447388246</x:v>
      </x:c>
      <x:c r="G51" s="29" t="n">
        <x:v>-0.03151670977629362</x:v>
      </x:c>
      <x:c r="H51" s="38" t="n">
        <x:v>0.5987716853653782</x:v>
      </x:c>
      <x:c r="I51" s="44" t="n">
        <x:v>-0.5921209980940247</x:v>
      </x:c>
      <x:c r="J51" s="29" t="n">
        <x:v>0</x:v>
      </x:c>
      <x:c r="K51" s="29" t="n">
        <x:v>0.11330471863279964</x:v>
      </x:c>
      <x:c r="L51" s="14" t="str">
        <x:v>801738.SI</x:v>
      </x:c>
      <x:c r="M51" s="14" t="str">
        <x:v>电网设备</x:v>
      </x:c>
      <x:c r="N51" s="29" t="n">
        <x:v>-0.03146287956223908</x:v>
      </x:c>
      <x:c r="O51" s="32" t="n">
        <x:v>4.182094081942337</x:v>
      </x:c>
      <x:c r="P51" s="14" t="str">
        <x:v>complete</x:v>
      </x:c>
      <x:c r="Q51" s="26" t="str"/>
      <x:c r="R51" s="26" t="str"/>
      <x:c r="S51" s="26" t="str"/>
    </x:row>
    <x:row r="52" ht="28.5" customHeight="1">
      <x:c r="A52" s="17" t="n">
        <x:v>46259</x:v>
      </x:c>
      <x:c r="B52" s="12" t="str">
        <x:v>300473.SZ</x:v>
      </x:c>
      <x:c r="C52" s="28" t="n">
        <x:v>0.003673469387754924</x:v>
      </x:c>
      <x:c r="D52" s="28" t="n">
        <x:v>0.13057471264367804</x:v>
      </x:c>
      <x:c r="E52" s="28" t="n">
        <x:v>0.08949933540097454</x:v>
      </x:c>
      <x:c r="F52" s="28" t="n">
        <x:v>0.18448940269749503</x:v>
      </x:c>
      <x:c r="G52" s="28" t="n">
        <x:v>0.12627201034408597</x:v>
      </x:c>
      <x:c r="H52" s="37" t="n">
        <x:v>2.944978934841815</x:v>
      </x:c>
      <x:c r="I52" s="43" t="n">
        <x:v>0.8302116221155637</x:v>
      </x:c>
      <x:c r="J52" s="28" t="n">
        <x:v>0</x:v>
      </x:c>
      <x:c r="K52" s="28" t="n">
        <x:v>0.2784163473818646</x:v>
      </x:c>
      <x:c r="L52" s="12" t="str">
        <x:v>801093.SI</x:v>
      </x:c>
      <x:c r="M52" s="12" t="str">
        <x:v>汽车零部件</x:v>
      </x:c>
      <x:c r="N52" s="28" t="n">
        <x:v>0.12088507540697829</x:v>
      </x:c>
      <x:c r="O52" s="31" t="n">
        <x:v>5.585462805224304</x:v>
      </x:c>
      <x:c r="P52" s="12" t="str">
        <x:v>complete</x:v>
      </x:c>
      <x:c r="Q52" s="25" t="str">
        <x:v>trend_continuation</x:v>
      </x:c>
      <x:c r="R52" s="25" t="str">
        <x:v>range_cross_noise,single_day_impulse</x:v>
      </x:c>
      <x:c r="S52" s="25" t="str"/>
    </x:row>
    <x:row r="53" ht="28.5" customHeight="1">
      <x:c r="A53" s="18" t="n">
        <x:v>46259</x:v>
      </x:c>
      <x:c r="B53" s="14" t="str">
        <x:v>300816.SZ</x:v>
      </x:c>
      <x:c r="C53" s="29" t="n">
        <x:v>0.01513094083414157</x:v>
      </x:c>
      <x:c r="D53" s="29" t="n">
        <x:v>0.03052382827885003</x:v>
      </x:c>
      <x:c r="E53" s="29" t="n">
        <x:v>-0.042627149652396557</x:v>
      </x:c>
      <x:c r="F53" s="29" t="n">
        <x:v>0.12199828473413388</x:v>
      </x:c>
      <x:c r="G53" s="29" t="n">
        <x:v>-0.005854474709285129</x:v>
      </x:c>
      <x:c r="H53" s="38" t="n">
        <x:v>1.2791973884501937</x:v>
      </x:c>
      <x:c r="I53" s="44" t="n">
        <x:v>-0.22998417687699033</x:v>
      </x:c>
      <x:c r="J53" s="29" t="n">
        <x:v>0</x:v>
      </x:c>
      <x:c r="K53" s="29" t="n">
        <x:v>0.19952376194675697</x:v>
      </x:c>
      <x:c r="L53" s="14" t="str">
        <x:v>801093.SI</x:v>
      </x:c>
      <x:c r="M53" s="14" t="str">
        <x:v>汽车零部件</x:v>
      </x:c>
      <x:c r="N53" s="29" t="n">
        <x:v>-0.011241409646392801</x:v>
      </x:c>
      <x:c r="O53" s="32" t="n">
        <x:v>3.219317133189787</x:v>
      </x:c>
      <x:c r="P53" s="14" t="str">
        <x:v>complete</x:v>
      </x:c>
      <x:c r="Q53" s="26" t="str"/>
      <x:c r="R53" s="26" t="str"/>
      <x:c r="S53" s="26" t="str"/>
    </x:row>
    <x:row r="54" ht="28.5" customHeight="1">
      <x:c r="A54" s="17" t="n">
        <x:v>46259</x:v>
      </x:c>
      <x:c r="B54" s="12" t="str">
        <x:v>300990.SZ</x:v>
      </x:c>
      <x:c r="C54" s="28" t="n">
        <x:v>0.13560016386726725</x:v>
      </x:c>
      <x:c r="D54" s="28" t="n">
        <x:v>0.2078431372549019</x:v>
      </x:c>
      <x:c r="E54" s="28" t="n">
        <x:v>0.10394265232974909</x:v>
      </x:c>
      <x:c r="F54" s="28" t="n">
        <x:v>0.010326813266917645</x:v>
      </x:c>
      <x:c r="G54" s="28" t="n">
        <x:v>0.1407153272728605</x:v>
      </x:c>
      <x:c r="H54" s="37" t="n">
        <x:v>2.046369939866726</x:v>
      </x:c>
      <x:c r="I54" s="43" t="n">
        <x:v>0.58674811116746</x:v>
      </x:c>
      <x:c r="J54" s="28" t="n">
        <x:v>0</x:v>
      </x:c>
      <x:c r="K54" s="28" t="n">
        <x:v>0.38009652188384074</x:v>
      </x:c>
      <x:c r="L54" s="12" t="str">
        <x:v>801072.SI</x:v>
      </x:c>
      <x:c r="M54" s="12" t="str">
        <x:v>通用设备</x:v>
      </x:c>
      <x:c r="N54" s="28" t="n">
        <x:v>0.14537638377197346</x:v>
      </x:c>
      <x:c r="O54" s="31" t="n">
        <x:v>2.762790697674419</x:v>
      </x:c>
      <x:c r="P54" s="12" t="str">
        <x:v>complete</x:v>
      </x:c>
      <x:c r="Q54" s="25" t="str"/>
      <x:c r="R54" s="25" t="str">
        <x:v>failed_breakout,initial_activation,price_volume_divergence</x:v>
      </x:c>
      <x:c r="S54" s="25" t="str"/>
    </x:row>
    <x:row r="55" ht="28.5" customHeight="1">
      <x:c r="A55" s="18" t="n">
        <x:v>46259</x:v>
      </x:c>
      <x:c r="B55" s="14" t="str">
        <x:v>601069.SH</x:v>
      </x:c>
      <x:c r="C55" s="29" t="n">
        <x:v>-0.0792253521126759</x:v>
      </x:c>
      <x:c r="D55" s="29" t="n">
        <x:v>0.01553398058252431</x:v>
      </x:c>
      <x:c r="E55" s="29" t="n">
        <x:v>0.10105263157894728</x:v>
      </x:c>
      <x:c r="F55" s="29" t="n">
        <x:v>0.37030567685589544</x:v>
      </x:c>
      <x:c r="G55" s="29" t="n">
        <x:v>0.1378253065220587</x:v>
      </x:c>
      <x:c r="H55" s="38" t="n">
        <x:v>1.4548563286838685</x:v>
      </x:c>
      <x:c r="I55" s="44" t="n">
        <x:v>0.43030490055783455</x:v>
      </x:c>
      <x:c r="J55" s="29" t="n">
        <x:v>0</x:v>
      </x:c>
      <x:c r="K55" s="29" t="n">
        <x:v>0.7822580645161294</x:v>
      </x:c>
      <x:c r="L55" s="14" t="str">
        <x:v>801053.SI</x:v>
      </x:c>
      <x:c r="M55" s="14" t="str">
        <x:v>贵金属</x:v>
      </x:c>
      <x:c r="N55" s="29"/>
      <x:c r="O55" s="32" t="n">
        <x:v>3.454995871180843</x:v>
      </x:c>
      <x:c r="P55" s="14" t="str">
        <x:v>complete</x:v>
      </x:c>
      <x:c r="Q55" s="26" t="str">
        <x:v>trend_continuation</x:v>
      </x:c>
      <x:c r="R55" s="26" t="str">
        <x:v>price_volume_divergence,range_cross_noise,single_day_impulse,trend_exhaustion</x:v>
      </x:c>
      <x:c r="S55" s="26" t="str"/>
    </x:row>
    <x:row r="56" ht="28.5" customHeight="1">
      <x:c r="A56" s="17" t="n">
        <x:v>46259</x:v>
      </x:c>
      <x:c r="B56" s="12" t="str">
        <x:v>603408.SH</x:v>
      </x:c>
      <x:c r="C56" s="28" t="n">
        <x:v>0.058495821727019504</x:v>
      </x:c>
      <x:c r="D56" s="28" t="n">
        <x:v>0.09720885466794993</x:v>
      </x:c>
      <x:c r="E56" s="28" t="n">
        <x:v>0.09195402298850586</x:v>
      </x:c>
      <x:c r="F56" s="28" t="n">
        <x:v>0.1550151975683891</x:v>
      </x:c>
      <x:c r="G56" s="28" t="n">
        <x:v>0.12872669793161728</x:v>
      </x:c>
      <x:c r="H56" s="37" t="n">
        <x:v>2.8067820657601383</x:v>
      </x:c>
      <x:c r="I56" s="43" t="n">
        <x:v>0.893634129290779</x:v>
      </x:c>
      <x:c r="J56" s="28" t="n">
        <x:v>0</x:v>
      </x:c>
      <x:c r="K56" s="28" t="n">
        <x:v>1</x:v>
      </x:c>
      <x:c r="L56" s="12" t="str">
        <x:v>801142.SI</x:v>
      </x:c>
      <x:c r="M56" s="12" t="str">
        <x:v>家居用品</x:v>
      </x:c>
      <x:c r="N56" s="28" t="n">
        <x:v>0.09513007813334544</x:v>
      </x:c>
      <x:c r="O56" s="31" t="n">
        <x:v>6.431593794076151</x:v>
      </x:c>
      <x:c r="P56" s="12" t="str">
        <x:v>complete</x:v>
      </x:c>
      <x:c r="Q56" s="25" t="str">
        <x:v>confirmed_breakout,trend_continuation</x:v>
      </x:c>
      <x:c r="R56" s="25" t="str">
        <x:v>failed_breakout,price_volume_divergence,single_day_impulse,trend_exhaustion</x:v>
      </x:c>
      <x:c r="S56" s="25" t="str"/>
    </x:row>
    <x:row r="57" ht="28.5" customHeight="1">
      <x:c r="A57" s="18" t="n">
        <x:v>46260</x:v>
      </x:c>
      <x:c r="B57" s="14" t="str">
        <x:v>300082.SZ</x:v>
      </x:c>
      <x:c r="C57" s="29" t="n">
        <x:v>0.06474820143884896</x:v>
      </x:c>
      <x:c r="D57" s="29" t="n">
        <x:v>0.1370038412291934</x:v>
      </x:c>
      <x:c r="E57" s="29" t="n">
        <x:v>0.18399999999999994</x:v>
      </x:c>
      <x:c r="F57" s="29" t="n">
        <x:v>0.17150395778364125</x:v>
      </x:c>
      <x:c r="G57" s="29" t="n">
        <x:v>0.18354278944854796</x:v>
      </x:c>
      <x:c r="H57" s="38" t="n">
        <x:v>4.341620038090714</x:v>
      </x:c>
      <x:c r="I57" s="44" t="n">
        <x:v>0.9928801690245059</x:v>
      </x:c>
      <x:c r="J57" s="29" t="n">
        <x:v>0</x:v>
      </x:c>
      <x:c r="K57" s="29" t="n">
        <x:v>0.6923076923076924</x:v>
      </x:c>
      <x:c r="L57" s="14" t="str">
        <x:v>801033.SI</x:v>
      </x:c>
      <x:c r="M57" s="14" t="str">
        <x:v>化学原料</x:v>
      </x:c>
      <x:c r="N57" s="29" t="n">
        <x:v>0.1463429605187524</x:v>
      </x:c>
      <x:c r="O57" s="32" t="n">
        <x:v>5.861386138613864</x:v>
      </x:c>
      <x:c r="P57" s="14" t="str">
        <x:v>complete</x:v>
      </x:c>
      <x:c r="Q57" s="26" t="str">
        <x:v>trend_continuation</x:v>
      </x:c>
      <x:c r="R57" s="26" t="str">
        <x:v>failed_breakout,price_volume_divergence,single_day_impulse,trend_exhaustion</x:v>
      </x:c>
      <x:c r="S57" s="26" t="str"/>
    </x:row>
    <x:row r="58" ht="28.5" customHeight="1">
      <x:c r="A58" s="17" t="n">
        <x:v>46260</x:v>
      </x:c>
      <x:c r="B58" s="12" t="str">
        <x:v>300107.SZ</x:v>
      </x:c>
      <x:c r="C58" s="28" t="n">
        <x:v>0.05855161787365182</x:v>
      </x:c>
      <x:c r="D58" s="28" t="n">
        <x:v>0.06677018633540377</x:v>
      </x:c>
      <x:c r="E58" s="28" t="n">
        <x:v>0.09919999999999995</x:v>
      </x:c>
      <x:c r="F58" s="28" t="n">
        <x:v>0.10272873194221499</x:v>
      </x:c>
      <x:c r="G58" s="28" t="n">
        <x:v>0.09874278944854797</x:v>
      </x:c>
      <x:c r="H58" s="37" t="n">
        <x:v>3.3166343759292167</x:v>
      </x:c>
      <x:c r="I58" s="43" t="n">
        <x:v>0.8993453321348974</x:v>
      </x:c>
      <x:c r="J58" s="28" t="n">
        <x:v>0</x:v>
      </x:c>
      <x:c r="K58" s="28" t="n">
        <x:v>1</x:v>
      </x:c>
      <x:c r="L58" s="12" t="str">
        <x:v>801034.SI</x:v>
      </x:c>
      <x:c r="M58" s="12" t="str">
        <x:v>化学制品</x:v>
      </x:c>
      <x:c r="N58" s="28" t="n">
        <x:v>0.09515535249125827</x:v>
      </x:c>
      <x:c r="O58" s="31" t="n">
        <x:v>6.231292517006809</x:v>
      </x:c>
      <x:c r="P58" s="12" t="str">
        <x:v>complete</x:v>
      </x:c>
      <x:c r="Q58" s="25" t="str">
        <x:v>confirmed_breakout,trend_continuation</x:v>
      </x:c>
      <x:c r="R58" s="25" t="str">
        <x:v>failed_breakout,price_volume_divergence,single_day_impulse,trend_exhaustion</x:v>
      </x:c>
      <x:c r="S58" s="25" t="str"/>
    </x:row>
    <x:row r="59" ht="28.5" customHeight="1">
      <x:c r="A59" s="18" t="n">
        <x:v>46260</x:v>
      </x:c>
      <x:c r="B59" s="14" t="str">
        <x:v>300399.SZ</x:v>
      </x:c>
      <x:c r="C59" s="29" t="n">
        <x:v>0.022222222222222365</x:v>
      </x:c>
      <x:c r="D59" s="29" t="n">
        <x:v>0.008017103153393768</x:v>
      </x:c>
      <x:c r="E59" s="29" t="n">
        <x:v>0.13957703927492449</x:v>
      </x:c>
      <x:c r="F59" s="29" t="n">
        <x:v>0.15492957746478875</x:v>
      </x:c>
      <x:c r="G59" s="29" t="n">
        <x:v>0.1391198287234725</x:v>
      </x:c>
      <x:c r="H59" s="38" t="n">
        <x:v>2.0736959810980617</x:v>
      </x:c>
      <x:c r="I59" s="44" t="n">
        <x:v>0.7440412723423889</x:v>
      </x:c>
      <x:c r="J59" s="29" t="n">
        <x:v>0</x:v>
      </x:c>
      <x:c r="K59" s="29" t="n">
        <x:v>0.6113821138211384</x:v>
      </x:c>
      <x:c r="L59" s="14" t="str">
        <x:v>801103.SI</x:v>
      </x:c>
      <x:c r="M59" s="14" t="str">
        <x:v>IT服务Ⅱ</x:v>
      </x:c>
      <x:c r="N59" s="29" t="n">
        <x:v>0.13701967395909798</x:v>
      </x:c>
      <x:c r="O59" s="32" t="n">
        <x:v>4.509264793783621</x:v>
      </x:c>
      <x:c r="P59" s="14" t="str">
        <x:v>complete</x:v>
      </x:c>
      <x:c r="Q59" s="26" t="str"/>
      <x:c r="R59" s="26" t="str"/>
      <x:c r="S59" s="26" t="str"/>
    </x:row>
    <x:row r="60" ht="28.5" customHeight="1">
      <x:c r="A60" s="17" t="n">
        <x:v>46260</x:v>
      </x:c>
      <x:c r="B60" s="12" t="str">
        <x:v>300690.SZ</x:v>
      </x:c>
      <x:c r="C60" s="28" t="n">
        <x:v>-0.021832191780821852</x:v>
      </x:c>
      <x:c r="D60" s="28" t="n">
        <x:v>0.10814742967992252</x:v>
      </x:c>
      <x:c r="E60" s="28" t="n">
        <x:v>0.12450787401574814</x:v>
      </x:c>
      <x:c r="F60" s="28" t="n">
        <x:v>0.07580037664783457</x:v>
      </x:c>
      <x:c r="G60" s="28" t="n">
        <x:v>0.12405066346429616</x:v>
      </x:c>
      <x:c r="H60" s="37" t="n">
        <x:v>3.374396566391634</x:v>
      </x:c>
      <x:c r="I60" s="43" t="n">
        <x:v>0.7975033498460966</x:v>
      </x:c>
      <x:c r="J60" s="28" t="n">
        <x:v>0</x:v>
      </x:c>
      <x:c r="K60" s="28" t="n">
        <x:v>0.7079303675048358</x:v>
      </x:c>
      <x:c r="L60" s="12" t="str">
        <x:v>801736.SI</x:v>
      </x:c>
      <x:c r="M60" s="12" t="str">
        <x:v>风电设备</x:v>
      </x:c>
      <x:c r="N60" s="28" t="n">
        <x:v>0.13633979054509915</x:v>
      </x:c>
      <x:c r="O60" s="31" t="n">
        <x:v>6.238907849829353</x:v>
      </x:c>
      <x:c r="P60" s="12" t="str">
        <x:v>complete</x:v>
      </x:c>
      <x:c r="Q60" s="25" t="str"/>
      <x:c r="R60" s="25" t="str">
        <x:v>trend_continuation</x:v>
      </x:c>
      <x:c r="S60" s="25" t="str"/>
    </x:row>
    <x:row r="61" ht="28.5" customHeight="1">
      <x:c r="A61" s="18" t="n">
        <x:v>46260</x:v>
      </x:c>
      <x:c r="B61" s="14" t="str">
        <x:v>301289.SZ</x:v>
      </x:c>
      <x:c r="C61" s="29" t="n">
        <x:v>0.06446505315539475</x:v>
      </x:c>
      <x:c r="D61" s="29" t="n">
        <x:v>0.09263988855351757</x:v>
      </x:c>
      <x:c r="E61" s="29" t="n">
        <x:v>0.10938236680810931</x:v>
      </x:c>
      <x:c r="F61" s="29" t="n">
        <x:v>0.12583732057416275</x:v>
      </x:c>
      <x:c r="G61" s="29" t="n">
        <x:v>0.10892515625665733</x:v>
      </x:c>
      <x:c r="H61" s="38" t="n">
        <x:v>5.158749664190777</x:v>
      </x:c>
      <x:c r="I61" s="44" t="n">
        <x:v>1.0000000000000002</x:v>
      </x:c>
      <x:c r="J61" s="29" t="n">
        <x:v>0</x:v>
      </x:c>
      <x:c r="K61" s="29" t="n">
        <x:v>0.654381880522109</x:v>
      </x:c>
      <x:c r="L61" s="14" t="str">
        <x:v>801218.SI</x:v>
      </x:c>
      <x:c r="M61" s="14" t="str">
        <x:v>专业服务</x:v>
      </x:c>
      <x:c r="N61" s="29" t="n">
        <x:v>0.1003992728154669</x:v>
      </x:c>
      <x:c r="O61" s="32" t="n">
        <x:v>5.973976515391938</x:v>
      </x:c>
      <x:c r="P61" s="14" t="str">
        <x:v>complete</x:v>
      </x:c>
      <x:c r="Q61" s="26" t="str">
        <x:v>trend_continuation</x:v>
      </x:c>
      <x:c r="R61" s="26" t="str">
        <x:v>failed_breakout,price_volume_divergence,single_day_impulse,trend_exhaustion</x:v>
      </x:c>
      <x:c r="S61" s="26" t="str"/>
    </x:row>
    <x:row r="62" ht="28.5" customHeight="1">
      <x:c r="A62" s="17" t="n">
        <x:v>46260</x:v>
      </x:c>
      <x:c r="B62" s="12" t="str">
        <x:v>603588.SH</x:v>
      </x:c>
      <x:c r="C62" s="28" t="n">
        <x:v>0.05912408759124088</x:v>
      </x:c>
      <x:c r="D62" s="28" t="n">
        <x:v>0.049168474331164</x:v>
      </x:c>
      <x:c r="E62" s="28" t="n">
        <x:v>0.09262048192771077</x:v>
      </x:c>
      <x:c r="F62" s="28" t="n">
        <x:v>0.14072327044025146</x:v>
      </x:c>
      <x:c r="G62" s="28" t="n">
        <x:v>0.09216327137625879</x:v>
      </x:c>
      <x:c r="H62" s="37" t="n">
        <x:v>1.750715634723433</x:v>
      </x:c>
      <x:c r="I62" s="43" t="n">
        <x:v>0.7899813349442588</x:v>
      </x:c>
      <x:c r="J62" s="28" t="n">
        <x:v>0</x:v>
      </x:c>
      <x:c r="K62" s="28" t="n">
        <x:v>0.3509202453987728</x:v>
      </x:c>
      <x:c r="L62" s="12" t="str">
        <x:v>801971.SI</x:v>
      </x:c>
      <x:c r="M62" s="12" t="str">
        <x:v>环境治理</x:v>
      </x:c>
      <x:c r="N62" s="28" t="n">
        <x:v>0.05804499133009693</x:v>
      </x:c>
      <x:c r="O62" s="31" t="n">
        <x:v>4.230320699708456</x:v>
      </x:c>
      <x:c r="P62" s="12" t="str">
        <x:v>complete</x:v>
      </x:c>
      <x:c r="Q62" s="25" t="str"/>
      <x:c r="R62" s="25" t="str"/>
      <x:c r="S62" s="25" t="str"/>
    </x:row>
    <x:row r="63" ht="28.5" customHeight="1">
      <x:c r="A63" s="18" t="n">
        <x:v>46260</x:v>
      </x:c>
      <x:c r="B63" s="14" t="str">
        <x:v>603993.SH</x:v>
      </x:c>
      <x:c r="C63" s="29" t="n">
        <x:v>0.06351791530944628</x:v>
      </x:c>
      <x:c r="D63" s="29" t="n">
        <x:v>0.052094522019334066</x:v>
      </x:c>
      <x:c r="E63" s="29" t="n">
        <x:v>0.08833333333333337</x:v>
      </x:c>
      <x:c r="F63" s="29" t="n">
        <x:v>0.026729559748427834</x:v>
      </x:c>
      <x:c r="G63" s="29" t="n">
        <x:v>0.0878761227818814</x:v>
      </x:c>
      <x:c r="H63" s="38" t="n">
        <x:v>1.8343628913797279</x:v>
      </x:c>
      <x:c r="I63" s="44" t="n">
        <x:v>0.7749879653998734</x:v>
      </x:c>
      <x:c r="J63" s="29" t="n">
        <x:v>0</x:v>
      </x:c>
      <x:c r="K63" s="29" t="n">
        <x:v>0.5761316872427985</x:v>
      </x:c>
      <x:c r="L63" s="14" t="str">
        <x:v>801055.SI</x:v>
      </x:c>
      <x:c r="M63" s="14" t="str">
        <x:v>工业金属</x:v>
      </x:c>
      <x:c r="N63" s="29" t="n">
        <x:v>0.02838141637073368</x:v>
      </x:c>
      <x:c r="O63" s="32" t="n">
        <x:v>4.571761960326729</x:v>
      </x:c>
      <x:c r="P63" s="14" t="str">
        <x:v>complete</x:v>
      </x:c>
      <x:c r="Q63" s="26" t="str"/>
      <x:c r="R63" s="26" t="str">
        <x:v>trend_continuation</x:v>
      </x:c>
      <x:c r="S63" s="26" t="str"/>
    </x:row>
    <x:row r="64" ht="28.5" customHeight="1">
      <x:c r="A64" s="17" t="n">
        <x:v>46261</x:v>
      </x:c>
      <x:c r="B64" s="12" t="str">
        <x:v>000513.SZ</x:v>
      </x:c>
      <x:c r="C64" s="28" t="n">
        <x:v>-0.0026575550493544986</x:v>
      </x:c>
      <x:c r="D64" s="28" t="n">
        <x:v>-0.0026575550493544986</x:v>
      </x:c>
      <x:c r="E64" s="28" t="n">
        <x:v>-0.14150326797385615</x:v>
      </x:c>
      <x:c r="F64" s="28" t="n">
        <x:v>-0.1528539180909384</x:v>
      </x:c>
      <x:c r="G64" s="28" t="n">
        <x:v>-0.1496741017295944</x:v>
      </x:c>
      <x:c r="H64" s="37" t="n">
        <x:v>0.7359401558275129</x:v>
      </x:c>
      <x:c r="I64" s="43" t="n">
        <x:v>-0.9269234390204808</x:v>
      </x:c>
      <x:c r="J64" s="28" t="n">
        <x:v>0</x:v>
      </x:c>
      <x:c r="K64" s="28" t="n">
        <x:v>0.05434782608695707</x:v>
      </x:c>
      <x:c r="L64" s="12" t="str">
        <x:v>801151.SI</x:v>
      </x:c>
      <x:c r="M64" s="12" t="str">
        <x:v>化学制药</x:v>
      </x:c>
      <x:c r="N64" s="28" t="n">
        <x:v>-0.11166493135527242</x:v>
      </x:c>
      <x:c r="O64" s="31" t="n">
        <x:v>6.7186700767263385</x:v>
      </x:c>
      <x:c r="P64" s="12" t="str">
        <x:v>complete</x:v>
      </x:c>
      <x:c r="Q64" s="25" t="str"/>
      <x:c r="R64" s="25" t="str"/>
      <x:c r="S64" s="25" t="str"/>
    </x:row>
    <x:row r="65" ht="28.5" customHeight="1">
      <x:c r="A65" s="18" t="n">
        <x:v>46261</x:v>
      </x:c>
      <x:c r="B65" s="14" t="str">
        <x:v>000655.SZ</x:v>
      </x:c>
      <x:c r="C65" s="29" t="n">
        <x:v>0.009615384615384581</x:v>
      </x:c>
      <x:c r="D65" s="29" t="n">
        <x:v>0.04107648725212454</x:v>
      </x:c>
      <x:c r="E65" s="29" t="n">
        <x:v>0.06676342525399126</x:v>
      </x:c>
      <x:c r="F65" s="29" t="n">
        <x:v>0.09212481426448704</x:v>
      </x:c>
      <x:c r="G65" s="29" t="n">
        <x:v>0.05859259149825302</x:v>
      </x:c>
      <x:c r="H65" s="38" t="n">
        <x:v>1.6077147313932192</x:v>
      </x:c>
      <x:c r="I65" s="44" t="n">
        <x:v>0.9999999999999989</x:v>
      </x:c>
      <x:c r="J65" s="29" t="n">
        <x:v>0</x:v>
      </x:c>
      <x:c r="K65" s="29" t="n">
        <x:v>1</x:v>
      </x:c>
      <x:c r="L65" s="14" t="str">
        <x:v>801043.SI</x:v>
      </x:c>
      <x:c r="M65" s="14" t="str">
        <x:v>冶钢原料</x:v>
      </x:c>
      <x:c r="N65" s="29" t="n">
        <x:v>0.030466664007699693</x:v>
      </x:c>
      <x:c r="O65" s="32" t="n">
        <x:v>8.672566371681402</x:v>
      </x:c>
      <x:c r="P65" s="14" t="str">
        <x:v>complete</x:v>
      </x:c>
      <x:c r="Q65" s="26" t="str">
        <x:v>confirmed_breakout,trend_continuation</x:v>
      </x:c>
      <x:c r="R65" s="26" t="str">
        <x:v>failed_breakout,price_volume_divergence,range_cross_noise,single_day_impulse,trend_exhaustion</x:v>
      </x:c>
      <x:c r="S65" s="26" t="str"/>
    </x:row>
    <x:row r="66" ht="28.5" customHeight="1">
      <x:c r="A66" s="17" t="n">
        <x:v>46261</x:v>
      </x:c>
      <x:c r="B66" s="12" t="str">
        <x:v>000801.SZ</x:v>
      </x:c>
      <x:c r="C66" s="28" t="n">
        <x:v>0.03231441048034944</x:v>
      </x:c>
      <x:c r="D66" s="28" t="n">
        <x:v>0.063906390639064</x:v>
      </x:c>
      <x:c r="E66" s="28" t="n">
        <x:v>0.07454545454545447</x:v>
      </x:c>
      <x:c r="F66" s="28" t="n">
        <x:v>0.023376623376623273</x:v>
      </x:c>
      <x:c r="G66" s="28" t="n">
        <x:v>0.06637462078971623</x:v>
      </x:c>
      <x:c r="H66" s="37" t="n">
        <x:v>1.513894586869513</x:v>
      </x:c>
      <x:c r="I66" s="43" t="n">
        <x:v>1.0000000000000018</x:v>
      </x:c>
      <x:c r="J66" s="28" t="n">
        <x:v>0</x:v>
      </x:c>
      <x:c r="K66" s="28" t="n">
        <x:v>0.4732510288065845</x:v>
      </x:c>
      <x:c r="L66" s="12" t="str">
        <x:v>801112.SI</x:v>
      </x:c>
      <x:c r="M66" s="12" t="str">
        <x:v>黑色家电</x:v>
      </x:c>
      <x:c r="N66" s="28" t="n">
        <x:v>0.042632899841637366</x:v>
      </x:c>
      <x:c r="O66" s="31" t="n">
        <x:v>7.932885906040272</x:v>
      </x:c>
      <x:c r="P66" s="12" t="str">
        <x:v>complete</x:v>
      </x:c>
      <x:c r="Q66" s="25" t="str"/>
      <x:c r="R66" s="25" t="str">
        <x:v>price_volume_divergence</x:v>
      </x:c>
      <x:c r="S66" s="25" t="str"/>
    </x:row>
    <x:row r="67" ht="28.5" customHeight="1">
      <x:c r="A67" s="18" t="n">
        <x:v>46261</x:v>
      </x:c>
      <x:c r="B67" s="14" t="str">
        <x:v>002011.SZ</x:v>
      </x:c>
      <x:c r="C67" s="29" t="n">
        <x:v>0.017804154302670572</x:v>
      </x:c>
      <x:c r="D67" s="29" t="n">
        <x:v>0.051072522982635205</x:v>
      </x:c>
      <x:c r="E67" s="29" t="n">
        <x:v>0.03939393939393909</x:v>
      </x:c>
      <x:c r="F67" s="29" t="n">
        <x:v>-0.014255539572749054</x:v>
      </x:c>
      <x:c r="G67" s="29" t="n">
        <x:v>0.031223105638200854</x:v>
      </x:c>
      <x:c r="H67" s="38" t="n">
        <x:v>1.5874717776838825</x:v>
      </x:c>
      <x:c r="I67" s="44" t="n">
        <x:v>0.7666135963141878</x:v>
      </x:c>
      <x:c r="J67" s="29" t="n">
        <x:v>0</x:v>
      </x:c>
      <x:c r="K67" s="29" t="n">
        <x:v>0.3013830371818876</x:v>
      </x:c>
      <x:c r="L67" s="14" t="str">
        <x:v>801116.SI</x:v>
      </x:c>
      <x:c r="M67" s="14" t="str">
        <x:v>家电零部件Ⅱ</x:v>
      </x:c>
      <x:c r="N67" s="29" t="n">
        <x:v>0.02080182981126615</x:v>
      </x:c>
      <x:c r="O67" s="32" t="n">
        <x:v>11.799486450262362</x:v>
      </x:c>
      <x:c r="P67" s="14" t="str">
        <x:v>complete</x:v>
      </x:c>
      <x:c r="Q67" s="26" t="str">
        <x:v>initial_activation</x:v>
      </x:c>
      <x:c r="R67" s="26" t="str"/>
      <x:c r="S67" s="26" t="str"/>
    </x:row>
    <x:row r="68" ht="28.5" customHeight="1">
      <x:c r="A68" s="17" t="n">
        <x:v>46261</x:v>
      </x:c>
      <x:c r="B68" s="12" t="str">
        <x:v>002111.SZ</x:v>
      </x:c>
      <x:c r="C68" s="28" t="n">
        <x:v>-0.017745302713987443</x:v>
      </x:c>
      <x:c r="D68" s="28" t="n">
        <x:v>-0.0031779661016948513</x:v>
      </x:c>
      <x:c r="E68" s="28" t="n">
        <x:v>-0.0010615711252653925</x:v>
      </x:c>
      <x:c r="F68" s="28" t="n">
        <x:v>-0.007383966244725815</x:v>
      </x:c>
      <x:c r="G68" s="28" t="n">
        <x:v>-0.00923240488100363</x:v>
      </x:c>
      <x:c r="H68" s="37" t="n">
        <x:v>1.6717690785985186</x:v>
      </x:c>
      <x:c r="I68" s="43" t="n">
        <x:v>-0.23501143129411506</x:v>
      </x:c>
      <x:c r="J68" s="28" t="n">
        <x:v>0</x:v>
      </x:c>
      <x:c r="K68" s="28" t="n">
        <x:v>0.6994678909768909</x:v>
      </x:c>
      <x:c r="L68" s="12" t="str">
        <x:v>801742.SI</x:v>
      </x:c>
      <x:c r="M68" s="12" t="str">
        <x:v>航空装备Ⅱ</x:v>
      </x:c>
      <x:c r="N68" s="28" t="n">
        <x:v>-0.032207864867241226</x:v>
      </x:c>
      <x:c r="O68" s="31" t="n">
        <x:v>8.835680751173719</x:v>
      </x:c>
      <x:c r="P68" s="12" t="str">
        <x:v>complete</x:v>
      </x:c>
      <x:c r="Q68" s="25" t="str"/>
      <x:c r="R68" s="25" t="str"/>
      <x:c r="S68" s="25" t="str"/>
    </x:row>
    <x:row r="69" ht="28.5" customHeight="1">
      <x:c r="A69" s="18" t="n">
        <x:v>46261</x:v>
      </x:c>
      <x:c r="B69" s="14" t="str">
        <x:v>003816.SZ</x:v>
      </x:c>
      <x:c r="C69" s="29" t="n">
        <x:v>0.009661835748792313</x:v>
      </x:c>
      <x:c r="D69" s="29" t="n">
        <x:v>0.07731958762886593</x:v>
      </x:c>
      <x:c r="E69" s="29" t="n">
        <x:v>0.08010335917312661</x:v>
      </x:c>
      <x:c r="F69" s="29" t="n">
        <x:v>0.004807692307692291</x:v>
      </x:c>
      <x:c r="G69" s="29" t="n">
        <x:v>0.07193252541738837</x:v>
      </x:c>
      <x:c r="H69" s="38" t="n">
        <x:v>1.6537635554923256</x:v>
      </x:c>
      <x:c r="I69" s="44" t="n">
        <x:v>0.948729918509649</x:v>
      </x:c>
      <x:c r="J69" s="29" t="n">
        <x:v>0</x:v>
      </x:c>
      <x:c r="K69" s="29" t="n">
        <x:v>0.6639133538155982</x:v>
      </x:c>
      <x:c r="L69" s="14" t="str">
        <x:v>801161.SI</x:v>
      </x:c>
      <x:c r="M69" s="14" t="str">
        <x:v>电力</x:v>
      </x:c>
      <x:c r="N69" s="29" t="n">
        <x:v>0.05761491402612959</x:v>
      </x:c>
      <x:c r="O69" s="32" t="n">
        <x:v>10.385093167701854</x:v>
      </x:c>
      <x:c r="P69" s="14" t="str">
        <x:v>complete</x:v>
      </x:c>
      <x:c r="Q69" s="26" t="str">
        <x:v>initial_activation</x:v>
      </x:c>
      <x:c r="R69" s="26" t="str">
        <x:v>price_volume_divergence</x:v>
      </x:c>
      <x:c r="S69" s="26" t="str"/>
    </x:row>
    <x:row r="70" ht="28.5" customHeight="1">
      <x:c r="A70" s="17" t="n">
        <x:v>46261</x:v>
      </x:c>
      <x:c r="B70" s="12" t="str">
        <x:v>301085.SZ</x:v>
      </x:c>
      <x:c r="C70" s="28" t="n">
        <x:v>0.004742547425474308</x:v>
      </x:c>
      <x:c r="D70" s="28" t="n">
        <x:v>0.035072413191415075</x:v>
      </x:c>
      <x:c r="E70" s="28" t="n">
        <x:v>-0.01050875729774814</x:v>
      </x:c>
      <x:c r="F70" s="28" t="n">
        <x:v>0.07874158937988729</x:v>
      </x:c>
      <x:c r="G70" s="28" t="n">
        <x:v>-0.018679591053486377</x:v>
      </x:c>
      <x:c r="H70" s="37" t="n">
        <x:v>0.6226759612295035</x:v>
      </x:c>
      <x:c r="I70" s="43" t="n">
        <x:v>-0.2244778691488982</x:v>
      </x:c>
      <x:c r="J70" s="28" t="n">
        <x:v>0</x:v>
      </x:c>
      <x:c r="K70" s="28" t="n">
        <x:v>0.4817692767483568</x:v>
      </x:c>
      <x:c r="L70" s="12" t="str">
        <x:v>801103.SI</x:v>
      </x:c>
      <x:c r="M70" s="12" t="str">
        <x:v>IT服务Ⅱ</x:v>
      </x:c>
      <x:c r="N70" s="28" t="n">
        <x:v>-0.020257972215424448</x:v>
      </x:c>
      <x:c r="O70" s="31" t="n">
        <x:v>3.2964712420116706</x:v>
      </x:c>
      <x:c r="P70" s="12" t="str">
        <x:v>complete</x:v>
      </x:c>
      <x:c r="Q70" s="25" t="str"/>
      <x:c r="R70" s="25" t="str"/>
      <x:c r="S70" s="25" t="str"/>
    </x:row>
    <x:row r="71" ht="28.5" customHeight="1">
      <x:c r="A71" s="18" t="n">
        <x:v>46261</x:v>
      </x:c>
      <x:c r="B71" s="14" t="str">
        <x:v>301111.SZ</x:v>
      </x:c>
      <x:c r="C71" s="29" t="n">
        <x:v>0.05912476722532589</x:v>
      </x:c>
      <x:c r="D71" s="29" t="n">
        <x:v>0.07973421926910285</x:v>
      </x:c>
      <x:c r="E71" s="29" t="n">
        <x:v>0.045016077170418</x:v>
      </x:c>
      <x:c r="F71" s="29" t="n">
        <x:v>0.3688327316486162</x:v>
      </x:c>
      <x:c r="G71" s="29" t="n">
        <x:v>0.03684524341467976</x:v>
      </x:c>
      <x:c r="H71" s="38" t="n">
        <x:v>1.1938853284689206</x:v>
      </x:c>
      <x:c r="I71" s="44" t="n">
        <x:v>0.44525064182450785</x:v>
      </x:c>
      <x:c r="J71" s="29" t="n">
        <x:v>0</x:v>
      </x:c>
      <x:c r="K71" s="29" t="n">
        <x:v>0.44777209642074506</x:v>
      </x:c>
      <x:c r="L71" s="14" t="str">
        <x:v>801155.SI</x:v>
      </x:c>
      <x:c r="M71" s="14" t="str">
        <x:v>中药Ⅱ</x:v>
      </x:c>
      <x:c r="N71" s="29" t="n">
        <x:v>0.04926625535260662</x:v>
      </x:c>
      <x:c r="O71" s="32" t="n">
        <x:v>3.72340425531915</x:v>
      </x:c>
      <x:c r="P71" s="14" t="str">
        <x:v>complete</x:v>
      </x:c>
      <x:c r="Q71" s="26" t="str"/>
      <x:c r="R71" s="26" t="str"/>
      <x:c r="S71" s="26" t="str"/>
    </x:row>
    <x:row r="72" ht="28.5" customHeight="1">
      <x:c r="A72" s="17" t="n">
        <x:v>46262</x:v>
      </x:c>
      <x:c r="B72" s="12" t="str">
        <x:v>000928.SZ</x:v>
      </x:c>
      <x:c r="C72" s="28" t="n">
        <x:v>0.029069767441860517</x:v>
      </x:c>
      <x:c r="D72" s="28" t="n">
        <x:v>0.039138943248532065</x:v>
      </x:c>
      <x:c r="E72" s="28" t="n">
        <x:v>0.07489878542510109</x:v>
      </x:c>
      <x:c r="F72" s="28" t="n">
        <x:v>0.015296367112810572</x:v>
      </x:c>
      <x:c r="G72" s="28" t="n">
        <x:v>0.07700292496046002</x:v>
      </x:c>
      <x:c r="H72" s="37" t="n">
        <x:v>2.240828847612099</x:v>
      </x:c>
      <x:c r="I72" s="43" t="n">
        <x:v>0.9384383110024684</x:v>
      </x:c>
      <x:c r="J72" s="28" t="n">
        <x:v>0</x:v>
      </x:c>
      <x:c r="K72" s="28" t="n">
        <x:v>0.4857142857142859</x:v>
      </x:c>
      <x:c r="L72" s="12" t="str">
        <x:v>801724.SI</x:v>
      </x:c>
      <x:c r="M72" s="12" t="str">
        <x:v>专业工程</x:v>
      </x:c>
      <x:c r="N72" s="28" t="n">
        <x:v>0.05027055505940786</x:v>
      </x:c>
      <x:c r="O72" s="31" t="n">
        <x:v>11.005181347150252</x:v>
      </x:c>
      <x:c r="P72" s="12" t="str">
        <x:v>complete</x:v>
      </x:c>
      <x:c r="Q72" s="25" t="str">
        <x:v>initial_activation</x:v>
      </x:c>
      <x:c r="R72" s="25" t="str">
        <x:v>failed_breakout,price_volume_divergence</x:v>
      </x:c>
      <x:c r="S72" s="25" t="str"/>
    </x:row>
    <x:row r="73" ht="28.5" customHeight="1">
      <x:c r="A73" s="18" t="n">
        <x:v>46262</x:v>
      </x:c>
      <x:c r="B73" s="14" t="str">
        <x:v>002430.SZ</x:v>
      </x:c>
      <x:c r="C73" s="29" t="n">
        <x:v>0.05922920892494932</x:v>
      </x:c>
      <x:c r="D73" s="29" t="n">
        <x:v>0.12446167097329885</x:v>
      </x:c>
      <x:c r="E73" s="29" t="n">
        <x:v>0.12640207075064702</x:v>
      </x:c>
      <x:c r="F73" s="29" t="n">
        <x:v>0.1357111787733798</x:v>
      </x:c>
      <x:c r="G73" s="29" t="n">
        <x:v>0.12850621028600595</x:v>
      </x:c>
      <x:c r="H73" s="38" t="n">
        <x:v>3.2084489080697898</x:v>
      </x:c>
      <x:c r="I73" s="44" t="n">
        <x:v>0.9481681147161575</x:v>
      </x:c>
      <x:c r="J73" s="29" t="n">
        <x:v>0</x:v>
      </x:c>
      <x:c r="K73" s="29" t="n">
        <x:v>0.36965376782077397</x:v>
      </x:c>
      <x:c r="L73" s="14" t="str">
        <x:v>801034.SI</x:v>
      </x:c>
      <x:c r="M73" s="14" t="str">
        <x:v>化学制品</x:v>
      </x:c>
      <x:c r="N73" s="29" t="n">
        <x:v>0.10291408779094002</x:v>
      </x:c>
      <x:c r="O73" s="32" t="n">
        <x:v>7.617797228300512</x:v>
      </x:c>
      <x:c r="P73" s="14" t="str">
        <x:v>complete</x:v>
      </x:c>
      <x:c r="Q73" s="26" t="str">
        <x:v>trend_continuation</x:v>
      </x:c>
      <x:c r="R73" s="26" t="str">
        <x:v>failed_breakout,price_volume_divergence,single_day_impulse,trend_exhaustion</x:v>
      </x:c>
      <x:c r="S73" s="26" t="str"/>
    </x:row>
    <x:row r="74" ht="28.5" customHeight="1">
      <x:c r="A74" s="17" t="n">
        <x:v>46262</x:v>
      </x:c>
      <x:c r="B74" s="12" t="str">
        <x:v>300022.SZ</x:v>
      </x:c>
      <x:c r="C74" s="28" t="n">
        <x:v>0.010830324909747224</x:v>
      </x:c>
      <x:c r="D74" s="28" t="n">
        <x:v>0.03831891223732997</x:v>
      </x:c>
      <x:c r="E74" s="28" t="n">
        <x:v>0.035758323057953234</x:v>
      </x:c>
      <x:c r="F74" s="28" t="n">
        <x:v>0.07279693486590033</x:v>
      </x:c>
      <x:c r="G74" s="28" t="n">
        <x:v>0.03786246259331216</x:v>
      </x:c>
      <x:c r="H74" s="37" t="n">
        <x:v>1.8087784007313121</x:v>
      </x:c>
      <x:c r="I74" s="43" t="n">
        <x:v>0.9119817091346657</x:v>
      </x:c>
      <x:c r="J74" s="28" t="n">
        <x:v>0</x:v>
      </x:c>
      <x:c r="K74" s="28" t="n">
        <x:v>0.8449612403100775</x:v>
      </x:c>
      <x:c r="L74" s="12" t="str">
        <x:v>801204.SI</x:v>
      </x:c>
      <x:c r="M74" s="12" t="str">
        <x:v>专业连锁Ⅱ</x:v>
      </x:c>
      <x:c r="N74" s="28" t="n">
        <x:v>0.007190955078142474</x:v>
      </x:c>
      <x:c r="O74" s="31" t="n">
        <x:v>7.103594080338266</x:v>
      </x:c>
      <x:c r="P74" s="12" t="str">
        <x:v>complete</x:v>
      </x:c>
      <x:c r="Q74" s="25" t="str">
        <x:v>trend_continuation</x:v>
      </x:c>
      <x:c r="R74" s="25" t="str">
        <x:v>price_volume_divergence,range_cross_noise</x:v>
      </x:c>
      <x:c r="S74" s="25" t="str"/>
    </x:row>
    <x:row r="75" ht="28.5" customHeight="1">
      <x:c r="A75" s="18" t="n">
        <x:v>46262</x:v>
      </x:c>
      <x:c r="B75" s="14" t="str">
        <x:v>300910.SZ</x:v>
      </x:c>
      <x:c r="C75" s="29" t="n">
        <x:v>0.042784626540971926</x:v>
      </x:c>
      <x:c r="D75" s="29" t="n">
        <x:v>0.13272942103190255</x:v>
      </x:c>
      <x:c r="E75" s="29" t="n">
        <x:v>0.14353876739562632</x:v>
      </x:c>
      <x:c r="F75" s="29" t="n">
        <x:v>-0.03877005347593587</x:v>
      </x:c>
      <x:c r="G75" s="29" t="n">
        <x:v>0.14564290693098525</x:v>
      </x:c>
      <x:c r="H75" s="38" t="n">
        <x:v>2.211966992760266</x:v>
      </x:c>
      <x:c r="I75" s="44" t="n">
        <x:v>1</x:v>
      </x:c>
      <x:c r="J75" s="29" t="n">
        <x:v>0</x:v>
      </x:c>
      <x:c r="K75" s="29" t="n">
        <x:v>0.4121004566210051</x:v>
      </x:c>
      <x:c r="L75" s="14" t="str">
        <x:v>801034.SI</x:v>
      </x:c>
      <x:c r="M75" s="14" t="str">
        <x:v>化学制品</x:v>
      </x:c>
      <x:c r="N75" s="29" t="n">
        <x:v>0.12005078443591932</x:v>
      </x:c>
      <x:c r="O75" s="32" t="n">
        <x:v>7.167601246105918</x:v>
      </x:c>
      <x:c r="P75" s="14" t="str">
        <x:v>complete</x:v>
      </x:c>
      <x:c r="Q75" s="26" t="str"/>
      <x:c r="R75" s="26" t="str">
        <x:v>price_volume_divergence</x:v>
      </x:c>
      <x:c r="S75" s="26" t="str"/>
    </x:row>
    <x:row r="76" ht="28.5" customHeight="1">
      <x:c r="A76" s="17" t="n">
        <x:v>46262</x:v>
      </x:c>
      <x:c r="B76" s="12" t="str">
        <x:v>600150.SH</x:v>
      </x:c>
      <x:c r="C76" s="28" t="n">
        <x:v>0.007531865585167941</x:v>
      </x:c>
      <x:c r="D76" s="28" t="n">
        <x:v>0.02777777777777768</x:v>
      </x:c>
      <x:c r="E76" s="28" t="n">
        <x:v>0.03266033254156775</x:v>
      </x:c>
      <x:c r="F76" s="28" t="n">
        <x:v>-0.011370096645821337</x:v>
      </x:c>
      <x:c r="G76" s="28" t="n">
        <x:v>0.03476447207692668</x:v>
      </x:c>
      <x:c r="H76" s="37" t="n">
        <x:v>0.9785686093370022</x:v>
      </x:c>
      <x:c r="I76" s="43" t="n">
        <x:v>0.9999999999999978</x:v>
      </x:c>
      <x:c r="J76" s="28" t="n">
        <x:v>0</x:v>
      </x:c>
      <x:c r="K76" s="28" t="n">
        <x:v>0.5342820137478839</x:v>
      </x:c>
      <x:c r="L76" s="12" t="str">
        <x:v>801744.SI</x:v>
      </x:c>
      <x:c r="M76" s="12" t="str">
        <x:v>航海装备Ⅱ</x:v>
      </x:c>
      <x:c r="N76" s="28" t="n">
        <x:v>0.003691195184491635</x:v>
      </x:c>
      <x:c r="O76" s="31" t="n">
        <x:v>9.496245733788408</x:v>
      </x:c>
      <x:c r="P76" s="12" t="str">
        <x:v>limited</x:v>
      </x:c>
      <x:c r="Q76" s="25" t="str">
        <x:v>initial_activation</x:v>
      </x:c>
      <x:c r="R76" s="25" t="str"/>
      <x:c r="S76" s="25" t="str">
        <x:v>short history: 250/251 adjusted price sessions available; unavailable fields: distance_to_prior_250d_high, breakout_prior_250d_high; scenario inputs unavailable: breakout_prior_250d_high</x:v>
      </x:c>
    </x:row>
    <x:row r="77" ht="28.5" customHeight="1">
      <x:c r="A77" s="18" t="n">
        <x:v>46262</x:v>
      </x:c>
      <x:c r="B77" s="14" t="str">
        <x:v>600293.SH</x:v>
      </x:c>
      <x:c r="C77" s="29" t="n">
        <x:v>0.04137931034482767</x:v>
      </x:c>
      <x:c r="D77" s="29" t="n">
        <x:v>0.05594405594405605</x:v>
      </x:c>
      <x:c r="E77" s="29" t="n">
        <x:v>0.06338028169014098</x:v>
      </x:c>
      <x:c r="F77" s="29" t="n">
        <x:v>0.12267657992565062</x:v>
      </x:c>
      <x:c r="G77" s="29" t="n">
        <x:v>0.06548442122549991</x:v>
      </x:c>
      <x:c r="H77" s="38" t="n">
        <x:v>2.7962168949561863</x:v>
      </x:c>
      <x:c r="I77" s="44" t="n">
        <x:v>0.8390215172047982</x:v>
      </x:c>
      <x:c r="J77" s="29" t="n">
        <x:v>0</x:v>
      </x:c>
      <x:c r="K77" s="29" t="n">
        <x:v>0.3313253012048194</x:v>
      </x:c>
      <x:c r="L77" s="14" t="str">
        <x:v>801712.SI</x:v>
      </x:c>
      <x:c r="M77" s="14" t="str">
        <x:v>玻璃玻纤</x:v>
      </x:c>
      <x:c r="N77" s="29" t="n">
        <x:v>0.05014466084473708</x:v>
      </x:c>
      <x:c r="O77" s="32" t="n">
        <x:v>6.52972972972973</x:v>
      </x:c>
      <x:c r="P77" s="14" t="str">
        <x:v>complete</x:v>
      </x:c>
      <x:c r="Q77" s="26" t="str">
        <x:v>trend_continuation</x:v>
      </x:c>
      <x:c r="R77" s="26" t="str">
        <x:v>failed_breakout,price_volume_divergence,single_day_impulse,trend_exhaustion</x:v>
      </x:c>
      <x:c r="S77" s="26" t="str"/>
    </x:row>
    <x:row r="78" ht="28.5" customHeight="1">
      <x:c r="A78" s="17" t="n">
        <x:v>46262</x:v>
      </x:c>
      <x:c r="B78" s="12" t="str">
        <x:v>600998.SH</x:v>
      </x:c>
      <x:c r="C78" s="28" t="n">
        <x:v>-0.00809716599190291</x:v>
      </x:c>
      <x:c r="D78" s="28" t="n">
        <x:v>-0.004065040650406582</x:v>
      </x:c>
      <x:c r="E78" s="28" t="n">
        <x:v>-0.0020366598778005507</x:v>
      </x:c>
      <x:c r="F78" s="28" t="n">
        <x:v>-0.04854368932038855</x:v>
      </x:c>
      <x:c r="G78" s="28" t="n">
        <x:v>0.00006747965755837804</x:v>
      </x:c>
      <x:c r="H78" s="37" t="n">
        <x:v>0.5696045973927886</x:v>
      </x:c>
      <x:c r="I78" s="43" t="n">
        <x:v>0.02705855854383826</x:v>
      </x:c>
      <x:c r="J78" s="28" t="n">
        <x:v>0</x:v>
      </x:c>
      <x:c r="K78" s="28" t="n">
        <x:v>0.45901639344262274</x:v>
      </x:c>
      <x:c r="L78" s="12" t="str">
        <x:v>801154.SI</x:v>
      </x:c>
      <x:c r="M78" s="12" t="str">
        <x:v>医药商业</x:v>
      </x:c>
      <x:c r="N78" s="28" t="n">
        <x:v>-0.017508782350586127</x:v>
      </x:c>
      <x:c r="O78" s="31" t="n">
        <x:v>7.967479674796756</x:v>
      </x:c>
      <x:c r="P78" s="12" t="str">
        <x:v>complete</x:v>
      </x:c>
      <x:c r="Q78" s="25" t="str"/>
      <x:c r="R78" s="25" t="str"/>
      <x:c r="S78" s="25" t="str"/>
    </x:row>
    <x:row r="79" ht="28.5" customHeight="1">
      <x:c r="A79" s="18" t="n">
        <x:v>46262</x:v>
      </x:c>
      <x:c r="B79" s="14" t="str">
        <x:v>603596.SH</x:v>
      </x:c>
      <x:c r="C79" s="29" t="n">
        <x:v>0.08108108108108114</x:v>
      </x:c>
      <x:c r="D79" s="29" t="n">
        <x:v>0.08949416342412464</x:v>
      </x:c>
      <x:c r="E79" s="29" t="n">
        <x:v>0.1146496815286624</x:v>
      </x:c>
      <x:c r="F79" s="29" t="n">
        <x:v>0.07156525066972841</x:v>
      </x:c>
      <x:c r="G79" s="29" t="n">
        <x:v>0.11675382106402132</x:v>
      </x:c>
      <x:c r="H79" s="38" t="n">
        <x:v>2.9681264793827506</x:v>
      </x:c>
      <x:c r="I79" s="44" t="n">
        <x:v>0.9802098691473118</x:v>
      </x:c>
      <x:c r="J79" s="29" t="n">
        <x:v>0</x:v>
      </x:c>
      <x:c r="K79" s="29" t="n">
        <x:v>0.6565164433617537</x:v>
      </x:c>
      <x:c r="L79" s="14" t="str">
        <x:v>801093.SI</x:v>
      </x:c>
      <x:c r="M79" s="14" t="str">
        <x:v>汽车零部件</x:v>
      </x:c>
      <x:c r="N79" s="29" t="n">
        <x:v>0.09697111226595495</x:v>
      </x:c>
      <x:c r="O79" s="32" t="n">
        <x:v>5.714285714285714</x:v>
      </x:c>
      <x:c r="P79" s="14" t="str">
        <x:v>complete</x:v>
      </x:c>
      <x:c r="Q79" s="26" t="str"/>
      <x:c r="R79" s="26" t="str">
        <x:v>price_volume_divergence</x:v>
      </x:c>
      <x:c r="S79" s="26" t="str"/>
    </x:row>
  </x:sheetData>
  <x:pageMargins left="0.7" right="0.7" top="0.75" bottom="0.75" header="0.3" footer="0.3"/>
  <x:tableParts count="1">
    <x:tablePart xmlns:r="http://schemas.openxmlformats.org/officeDocument/2006/relationships" r:id="Rb42025acb3634bc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53.33000183105469" hidden="0" customWidth="1"/>
    <x:col min="2" max="2" width="12.220000267028809" hidden="0" customWidth="1"/>
    <x:col min="3" max="3" width="47.779998779296875" hidden="0" customWidth="1"/>
  </x:cols>
  <x:sheetData>
    <x:row r="1" ht="25.5" customHeight="1">
      <x:c r="A1" s="11" t="str">
        <x:v>相对路径</x:v>
      </x:c>
      <x:c r="B1" s="33" t="str">
        <x:v>字节</x:v>
      </x:c>
      <x:c r="C1" s="11" t="str">
        <x:v>SHA-256</x:v>
      </x:c>
    </x:row>
    <x:row r="2" ht="28.5" customHeight="1">
      <x:c r="A2" s="25" t="str">
        <x:v>README.md</x:v>
      </x:c>
      <x:c r="B2" s="34" t="n">
        <x:v>3288</x:v>
      </x:c>
      <x:c r="C2" s="12" t="str">
        <x:v>65e0cb27a72a98938877346b1a98c739dee38b2470a2b1900a0b720c4bb83232</x:v>
      </x:c>
    </x:row>
    <x:row r="3" ht="28.5" customHeight="1">
      <x:c r="A3" s="26" t="str">
        <x:v>data/candidate_ledger.jsonl</x:v>
      </x:c>
      <x:c r="B3" s="35" t="n">
        <x:v>143340</x:v>
      </x:c>
      <x:c r="C3" s="14" t="str">
        <x:v>16431766f901780a8836b26945d58037d6267e334e31e15a2b88e515c31edd46</x:v>
      </x:c>
    </x:row>
    <x:row r="4" ht="28.5" customHeight="1">
      <x:c r="A4" s="25" t="str">
        <x:v>data/daily_price_volume.csv</x:v>
      </x:c>
      <x:c r="B4" s="34" t="n">
        <x:v>60356</x:v>
      </x:c>
      <x:c r="C4" s="12" t="str">
        <x:v>6fae2929a2633a0931e8c70b055287bfb73968a6c2250725fb896f7585459bfd</x:v>
      </x:c>
    </x:row>
    <x:row r="5" ht="28.5" customHeight="1">
      <x:c r="A5" s="26" t="str">
        <x:v>data/decision_trace.jsonl</x:v>
      </x:c>
      <x:c r="B5" s="35" t="n">
        <x:v>88539</x:v>
      </x:c>
      <x:c r="C5" s="14" t="str">
        <x:v>5d05f4ae24246cefd20ec36563fb3888f5677c45e8f5132d8408bea9333f6309</x:v>
      </x:c>
    </x:row>
    <x:row r="6" ht="28.5" customHeight="1">
      <x:c r="A6" s="25" t="str">
        <x:v>data/formal_selections.csv</x:v>
      </x:c>
      <x:c r="B6" s="34" t="n">
        <x:v>43475</x:v>
      </x:c>
      <x:c r="C6" s="12" t="str">
        <x:v>71890933c7db42945a3f53b230b920eb0c963a693c2b7becc6fd5a9293ad1dd7</x:v>
      </x:c>
    </x:row>
    <x:row r="7" ht="28.5" customHeight="1">
      <x:c r="A7" s="26" t="str">
        <x:v>data/market_context.jsonl</x:v>
      </x:c>
      <x:c r="B7" s="35" t="n">
        <x:v>34932</x:v>
      </x:c>
      <x:c r="C7" s="14" t="str">
        <x:v>e7981a2ccfe10360bb82c9c954e9745b825e9ca9304461ec82e98e0a6b728201</x:v>
      </x:c>
    </x:row>
    <x:row r="8" ht="28.5" customHeight="1">
      <x:c r="A8" s="25" t="str">
        <x:v>data/monitor_alerts.jsonl</x:v>
      </x:c>
      <x:c r="B8" s="34" t="n">
        <x:v>78801</x:v>
      </x:c>
      <x:c r="C8" s="12" t="str">
        <x:v>9b1b9b05cc99a3471c3c367ddde511538b3bf01b57add44b2e1de3afdad88893</x:v>
      </x:c>
    </x:row>
    <x:row r="9" ht="28.5" customHeight="1">
      <x:c r="A9" s="26" t="str">
        <x:v>data/monitor_episodes.jsonl</x:v>
      </x:c>
      <x:c r="B9" s="35" t="n">
        <x:v>302814</x:v>
      </x:c>
      <x:c r="C9" s="14" t="str">
        <x:v>61da6dae77ab4e2b0a869c474329762a1d6f688e8d2ab35cb41de54be2824692</x:v>
      </x:c>
    </x:row>
    <x:row r="10" ht="28.5" customHeight="1">
      <x:c r="A10" s="25" t="str">
        <x:v>data/monitor_reviews.jsonl</x:v>
      </x:c>
      <x:c r="B10" s="34" t="n">
        <x:v>41919</x:v>
      </x:c>
      <x:c r="C10" s="12" t="str">
        <x:v>ace2218f648a681e0d8bee74fa58d208ec9c82677357d0920a1c9b956b2b9110</x:v>
      </x:c>
    </x:row>
    <x:row r="11" ht="28.5" customHeight="1">
      <x:c r="A11" s="26" t="str">
        <x:v>data/price_context.jsonl</x:v>
      </x:c>
      <x:c r="B11" s="35" t="n">
        <x:v>266881</x:v>
      </x:c>
      <x:c r="C11" s="14" t="str">
        <x:v>68b8e5e4983da45def6d95f913ad9ff23826ab9869664a87769c64469336dda2</x:v>
      </x:c>
    </x:row>
    <x:row r="12" ht="28.5" customHeight="1">
      <x:c r="A12" s="25" t="str">
        <x:v>data/research_runs.jsonl</x:v>
      </x:c>
      <x:c r="B12" s="34" t="n">
        <x:v>236070</x:v>
      </x:c>
      <x:c r="C12" s="12" t="str">
        <x:v>1b9339da3bc0a00b7061f1f6a5459536cc0ae683551ca4823c0348a49ac1fdf0</x:v>
      </x:c>
    </x:row>
    <x:row r="13" ht="28.5" customHeight="1">
      <x:c r="A13" s="26" t="str">
        <x:v>data/review_contracts.jsonl</x:v>
      </x:c>
      <x:c r="B13" s="35" t="n">
        <x:v>193255</x:v>
      </x:c>
      <x:c r="C13" s="14" t="str">
        <x:v>6836abc75f87652a919eb867e06c1aa17ab926555f64ca7f8e737e9fbe380b69</x:v>
      </x:c>
    </x:row>
    <x:row r="14" ht="28.5" customHeight="1">
      <x:c r="A14" s="25" t="str">
        <x:v>data/sector_context.jsonl</x:v>
      </x:c>
      <x:c r="B14" s="34" t="n">
        <x:v>176408</x:v>
      </x:c>
      <x:c r="C14" s="12" t="str">
        <x:v>f0fb05c16ad3871eed4b8ddac11a3c77e51efd5d01a0bfacb13a0287610c9ef5</x:v>
      </x:c>
    </x:row>
  </x:sheetData>
  <x:pageMargins left="0.7" right="0.7" top="0.75" bottom="0.75" header="0.3" footer="0.3"/>
  <x:tableParts count="1">
    <x:tablePart xmlns:r="http://schemas.openxmlformats.org/officeDocument/2006/relationships" r:id="R2457a949b81245d5"/>
  </x:tableParts>
</x:worksheet>
</file>